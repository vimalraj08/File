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0490" windowHeight="7650" tabRatio="867" firstSheet="5" activeTab="9"/>
  </bookViews>
  <sheets>
    <sheet name="Sheet1" sheetId="8" state="hidden" r:id="rId1"/>
    <sheet name="Proposal (2)" sheetId="15" state="hidden" r:id="rId2"/>
    <sheet name="Sheet3" sheetId="16" state="hidden" r:id="rId3"/>
    <sheet name="Proposal2" sheetId="9" state="hidden" r:id="rId4"/>
    <sheet name="Resource Details2" sheetId="10" state="hidden" r:id="rId5"/>
    <sheet name="Dashboard" sheetId="19" r:id="rId6"/>
    <sheet name="Project Activities" sheetId="7" r:id="rId7"/>
    <sheet name="Non-Project Activities" sheetId="1" state="hidden" r:id="rId8"/>
    <sheet name="Commercial" sheetId="17" r:id="rId9"/>
    <sheet name="Timeline Tracker" sheetId="22" r:id="rId10"/>
    <sheet name="Attendence Tracker" sheetId="24" r:id="rId11"/>
    <sheet name="Resource Details" sheetId="13" r:id="rId12"/>
    <sheet name="Sheet5" sheetId="12" state="hidden" r:id="rId13"/>
    <sheet name="Cost Projection" sheetId="20" state="hidden" r:id="rId14"/>
    <sheet name="Governance Metrics" sheetId="27" state="hidden" r:id="rId15"/>
    <sheet name="Productivity Tracker" sheetId="26" state="hidden" r:id="rId16"/>
  </sheets>
  <definedNames>
    <definedName name="_xlnm._FilterDatabase" localSheetId="14" hidden="1">'Governance Metrics'!$H$5:$K$14</definedName>
    <definedName name="_xlnm._FilterDatabase" localSheetId="7" hidden="1">'Non-Project Activities'!$B$3:$M$9</definedName>
    <definedName name="_xlnm._FilterDatabase" localSheetId="6" hidden="1">'Project Activities'!$B$2:$BE$19</definedName>
    <definedName name="_xlnm._FilterDatabase" localSheetId="1" hidden="1">'Proposal (2)'!$B$2:$AA$34</definedName>
    <definedName name="_xlnm._FilterDatabase" localSheetId="3" hidden="1">Proposal2!$B$2:$AC$28</definedName>
    <definedName name="_xlnm._FilterDatabase" localSheetId="11" hidden="1">'Resource Details'!$B$2:$W$2</definedName>
    <definedName name="_xlnm._FilterDatabase" localSheetId="4" hidden="1">'Resource Details2'!$B$3:$I$36</definedName>
    <definedName name="Actual" localSheetId="9">('Timeline Tracker'!PeriodInActual*('Timeline Tracker'!$E1&gt;0))*'Timeline Tracker'!PeriodInPlan</definedName>
    <definedName name="Actual">('Timeline Tracker'!PeriodInActual*(#REF!&gt;0))*'Timeline Tracker'!PeriodInPlan</definedName>
    <definedName name="ActualBeyond" localSheetId="9">'Timeline Tracker'!PeriodInActual*('Timeline Tracker'!$E1&gt;0)</definedName>
    <definedName name="ActualBeyond">'Timeline Tracker'!PeriodInActual*(#REF!&gt;0)</definedName>
    <definedName name="PercentComplete" localSheetId="9">'Timeline Tracker'!PercentCompleteBeyond*'Timeline Tracker'!PeriodInPlan</definedName>
    <definedName name="PercentComplete">'Timeline Tracker'!PercentCompleteBeyond*'Timeline Tracker'!PeriodInPlan</definedName>
    <definedName name="PercentCompleteBeyond" localSheetId="9">('Timeline Tracker'!A$5=MEDIAN('Timeline Tracker'!A$5,'Timeline Tracker'!$E1,'Timeline Tracker'!$E1+'Timeline Tracker'!$F1)*('Timeline Tracker'!$E1&gt;0))*(('Timeline Tracker'!A$5&lt;(INT('Timeline Tracker'!$E1+'Timeline Tracker'!$F1*'Timeline Tracker'!$H1)))+('Timeline Tracker'!A$5='Timeline Tracker'!$E1))*('Timeline Tracker'!$H1&gt;0)</definedName>
    <definedName name="PercentCompleteBeyond">(#REF!=MEDIAN(#REF!,#REF!,#REF!+#REF!)*(#REF!&gt;0))*((#REF!&lt;(INT(#REF!+#REF!*#REF!)))+(#REF!=#REF!))*(#REF!&gt;0)</definedName>
    <definedName name="period_selected" localSheetId="9">'Timeline Tracker'!$H$2</definedName>
    <definedName name="period_selected">#REF!</definedName>
    <definedName name="PeriodInActual" localSheetId="9">'Timeline Tracker'!A$5=MEDIAN('Timeline Tracker'!A$5,'Timeline Tracker'!$E1,'Timeline Tracker'!$E1+'Timeline Tracker'!$F1-1)</definedName>
    <definedName name="PeriodInActual">#REF!=MEDIAN(#REF!,#REF!,#REF!+#REF!-1)</definedName>
    <definedName name="PeriodInPlan" localSheetId="9">'Timeline Tracker'!A$5=MEDIAN('Timeline Tracker'!A$5,'Timeline Tracker'!$C1,'Timeline Tracker'!$C1+'Timeline Tracker'!$D1-1)</definedName>
    <definedName name="PeriodInPlan">#REF!=MEDIAN(#REF!,#REF!,#REF!+#REF!-1)</definedName>
    <definedName name="Plan" localSheetId="9">'Timeline Tracker'!PeriodInPlan*('Timeline Tracker'!$C1&gt;0)</definedName>
    <definedName name="Plan">PeriodInPlan*(#REF!&gt;0)</definedName>
    <definedName name="_xlnm.Print_Titles" localSheetId="9">'Timeline Tracker'!$4:$5</definedName>
    <definedName name="TitleRegion..BO60" localSheetId="9">'Timeline Tracker'!$B$4:$B$5</definedName>
    <definedName name="TitleRegion..BO60">#REF!</definedName>
  </definedNames>
  <calcPr calcId="162913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</pivotCaches>
</workbook>
</file>

<file path=xl/calcChain.xml><?xml version="1.0" encoding="utf-8"?>
<calcChain xmlns="http://schemas.openxmlformats.org/spreadsheetml/2006/main">
  <c r="G53" i="22" l="1"/>
  <c r="G52" i="22"/>
  <c r="G51" i="22"/>
  <c r="G50" i="22"/>
  <c r="G49" i="22"/>
  <c r="D48" i="22"/>
  <c r="G48" i="22" s="1"/>
  <c r="G47" i="22"/>
  <c r="G46" i="22"/>
  <c r="G45" i="22"/>
  <c r="F44" i="22"/>
  <c r="E44" i="22"/>
  <c r="F34" i="22"/>
  <c r="G43" i="22"/>
  <c r="G42" i="22"/>
  <c r="G41" i="22"/>
  <c r="G40" i="22"/>
  <c r="G39" i="22"/>
  <c r="D38" i="22"/>
  <c r="G38" i="22" s="1"/>
  <c r="G37" i="22"/>
  <c r="G36" i="22"/>
  <c r="G35" i="22"/>
  <c r="E34" i="22"/>
  <c r="G26" i="22"/>
  <c r="AX10" i="7"/>
  <c r="AX11" i="7"/>
  <c r="AX12" i="7"/>
  <c r="AX13" i="7"/>
  <c r="AX14" i="7"/>
  <c r="AX15" i="7"/>
  <c r="AX16" i="7"/>
  <c r="AX17" i="7"/>
  <c r="AX18" i="7"/>
  <c r="AX19" i="7"/>
  <c r="AV6" i="7"/>
  <c r="AV7" i="7"/>
  <c r="AV8" i="7"/>
  <c r="AV9" i="7"/>
  <c r="AV10" i="7"/>
  <c r="AV11" i="7"/>
  <c r="AV12" i="7"/>
  <c r="AV13" i="7"/>
  <c r="AV14" i="7"/>
  <c r="AV15" i="7"/>
  <c r="AV16" i="7"/>
  <c r="AV17" i="7"/>
  <c r="AV18" i="7"/>
  <c r="AV19" i="7"/>
  <c r="AW14" i="7"/>
  <c r="AU14" i="7"/>
  <c r="AN14" i="7"/>
  <c r="AU12" i="7"/>
  <c r="AW12" i="7" s="1"/>
  <c r="AN12" i="7"/>
  <c r="U14" i="7"/>
  <c r="U12" i="7"/>
  <c r="D44" i="22" l="1"/>
  <c r="G44" i="22" s="1"/>
  <c r="D34" i="22"/>
  <c r="G34" i="22" s="1"/>
  <c r="R4" i="19"/>
  <c r="N4" i="19"/>
  <c r="AU11" i="7"/>
  <c r="AU13" i="7"/>
  <c r="AN11" i="7"/>
  <c r="AN13" i="7"/>
  <c r="U13" i="7"/>
  <c r="U11" i="7"/>
  <c r="AU10" i="7"/>
  <c r="AU9" i="7"/>
  <c r="AN10" i="7"/>
  <c r="U10" i="7"/>
  <c r="D43" i="17"/>
  <c r="N43" i="17"/>
  <c r="Q43" i="17"/>
  <c r="S43" i="17"/>
  <c r="T43" i="17"/>
  <c r="U43" i="17"/>
  <c r="V43" i="17"/>
  <c r="W43" i="17"/>
  <c r="X43" i="17"/>
  <c r="D22" i="17"/>
  <c r="D12" i="17"/>
  <c r="T41" i="17"/>
  <c r="T38" i="17"/>
  <c r="AW10" i="7" l="1"/>
  <c r="AW11" i="7"/>
  <c r="AW13" i="7"/>
  <c r="Y43" i="17"/>
  <c r="U42" i="17"/>
  <c r="V42" i="17"/>
  <c r="W42" i="17"/>
  <c r="X42" i="17"/>
  <c r="U39" i="17"/>
  <c r="V39" i="17"/>
  <c r="W39" i="17"/>
  <c r="X39" i="17"/>
  <c r="T39" i="17"/>
  <c r="T42" i="17"/>
  <c r="D19" i="17" s="1"/>
  <c r="D39" i="17"/>
  <c r="N39" i="17"/>
  <c r="D42" i="17"/>
  <c r="N42" i="17"/>
  <c r="S39" i="17"/>
  <c r="S42" i="17"/>
  <c r="Q39" i="17"/>
  <c r="Q42" i="17"/>
  <c r="D23" i="17" l="1"/>
  <c r="D24" i="17" s="1"/>
  <c r="Y39" i="17"/>
  <c r="Y42" i="17"/>
  <c r="X41" i="17"/>
  <c r="W41" i="17"/>
  <c r="V41" i="17"/>
  <c r="U41" i="17"/>
  <c r="S41" i="17"/>
  <c r="Q41" i="17"/>
  <c r="N41" i="17"/>
  <c r="D41" i="17"/>
  <c r="X38" i="17"/>
  <c r="W38" i="17"/>
  <c r="V38" i="17"/>
  <c r="U38" i="17"/>
  <c r="S38" i="17"/>
  <c r="Q38" i="17"/>
  <c r="N38" i="17"/>
  <c r="D38" i="17"/>
  <c r="D25" i="17" l="1"/>
  <c r="Y41" i="17"/>
  <c r="Y38" i="17"/>
  <c r="N19" i="26"/>
  <c r="I19" i="26"/>
  <c r="N18" i="26"/>
  <c r="I18" i="26"/>
  <c r="N17" i="26"/>
  <c r="I17" i="26"/>
  <c r="N37" i="17" l="1"/>
  <c r="N21" i="26" l="1"/>
  <c r="I21" i="26"/>
  <c r="N20" i="26"/>
  <c r="I20" i="26"/>
  <c r="N16" i="26"/>
  <c r="I16" i="26"/>
  <c r="N15" i="26"/>
  <c r="I15" i="26"/>
  <c r="N14" i="26"/>
  <c r="I14" i="26"/>
  <c r="N13" i="26"/>
  <c r="I13" i="26"/>
  <c r="N12" i="26"/>
  <c r="I12" i="26"/>
  <c r="N11" i="26"/>
  <c r="I11" i="26"/>
  <c r="N10" i="26"/>
  <c r="I10" i="26"/>
  <c r="N9" i="26"/>
  <c r="I9" i="26"/>
  <c r="N8" i="26"/>
  <c r="I8" i="26"/>
  <c r="N7" i="26"/>
  <c r="I7" i="26"/>
  <c r="N6" i="26"/>
  <c r="I6" i="26"/>
  <c r="N5" i="26"/>
  <c r="I5" i="26"/>
  <c r="N4" i="26"/>
  <c r="I4" i="26"/>
  <c r="N3" i="26"/>
  <c r="I3" i="26"/>
  <c r="N2" i="26"/>
  <c r="I2" i="26"/>
  <c r="F7" i="22"/>
  <c r="F6" i="22" s="1"/>
  <c r="D6" i="22"/>
  <c r="C6" i="22"/>
  <c r="G10" i="22"/>
  <c r="G9" i="22"/>
  <c r="G8" i="22"/>
  <c r="D7" i="22"/>
  <c r="F54" i="22"/>
  <c r="AU5" i="7"/>
  <c r="AN5" i="7"/>
  <c r="U5" i="7"/>
  <c r="AN9" i="7"/>
  <c r="U9" i="7"/>
  <c r="G6" i="22" l="1"/>
  <c r="G7" i="22"/>
  <c r="AW5" i="7"/>
  <c r="AV5" i="7" s="1"/>
  <c r="AW9" i="7"/>
  <c r="G101" i="22"/>
  <c r="G102" i="22"/>
  <c r="G99" i="22"/>
  <c r="G100" i="22"/>
  <c r="G96" i="22"/>
  <c r="AX5" i="7" l="1"/>
  <c r="AX9" i="7"/>
  <c r="E12" i="27"/>
  <c r="E11" i="27"/>
  <c r="E10" i="27"/>
  <c r="E9" i="27"/>
  <c r="E8" i="27"/>
  <c r="E7" i="27"/>
  <c r="E6" i="27"/>
  <c r="E5" i="27"/>
  <c r="E4" i="27"/>
  <c r="F11" i="20"/>
  <c r="E11" i="20"/>
  <c r="G10" i="20"/>
  <c r="F10" i="20"/>
  <c r="E10" i="20"/>
  <c r="G98" i="22"/>
  <c r="F97" i="22"/>
  <c r="E97" i="22"/>
  <c r="D97" i="22"/>
  <c r="C97" i="22"/>
  <c r="G95" i="22"/>
  <c r="G94" i="22"/>
  <c r="G93" i="22"/>
  <c r="G92" i="22"/>
  <c r="G91" i="22"/>
  <c r="F90" i="22"/>
  <c r="E90" i="22"/>
  <c r="D90" i="22"/>
  <c r="C90" i="22"/>
  <c r="G89" i="22"/>
  <c r="G88" i="22"/>
  <c r="F87" i="22"/>
  <c r="G87" i="22" s="1"/>
  <c r="G86" i="22"/>
  <c r="G85" i="22"/>
  <c r="G84" i="22"/>
  <c r="G83" i="22"/>
  <c r="F82" i="22"/>
  <c r="E82" i="22"/>
  <c r="D82" i="22"/>
  <c r="C82" i="22"/>
  <c r="G81" i="22"/>
  <c r="G80" i="22"/>
  <c r="G79" i="22"/>
  <c r="G78" i="22"/>
  <c r="G77" i="22"/>
  <c r="G76" i="22"/>
  <c r="F75" i="22"/>
  <c r="G75" i="22" s="1"/>
  <c r="G74" i="22"/>
  <c r="G73" i="22"/>
  <c r="G72" i="22"/>
  <c r="F71" i="22"/>
  <c r="G71" i="22" s="1"/>
  <c r="E71" i="22"/>
  <c r="D71" i="22"/>
  <c r="C71" i="22"/>
  <c r="G70" i="22"/>
  <c r="G69" i="22"/>
  <c r="G68" i="22"/>
  <c r="G67" i="22"/>
  <c r="G66" i="22"/>
  <c r="G65" i="22"/>
  <c r="G64" i="22"/>
  <c r="G63" i="22"/>
  <c r="F62" i="22"/>
  <c r="G62" i="22" s="1"/>
  <c r="D62" i="22"/>
  <c r="G61" i="22"/>
  <c r="G60" i="22"/>
  <c r="E59" i="22"/>
  <c r="D59" i="22"/>
  <c r="C59" i="22"/>
  <c r="G58" i="22"/>
  <c r="G57" i="22"/>
  <c r="G56" i="22"/>
  <c r="D55" i="22"/>
  <c r="E54" i="22"/>
  <c r="C54" i="22"/>
  <c r="G33" i="22"/>
  <c r="G32" i="22"/>
  <c r="G31" i="22"/>
  <c r="G30" i="22"/>
  <c r="G29" i="22"/>
  <c r="G28" i="22"/>
  <c r="D27" i="22"/>
  <c r="G27" i="22" s="1"/>
  <c r="G25" i="22"/>
  <c r="G24" i="22"/>
  <c r="G23" i="22"/>
  <c r="F22" i="22"/>
  <c r="E22" i="22"/>
  <c r="C22" i="22"/>
  <c r="G21" i="22"/>
  <c r="G20" i="22"/>
  <c r="G19" i="22"/>
  <c r="G18" i="22"/>
  <c r="G17" i="22"/>
  <c r="G16" i="22"/>
  <c r="F15" i="22"/>
  <c r="F11" i="22" s="1"/>
  <c r="D15" i="22"/>
  <c r="D11" i="22" s="1"/>
  <c r="G14" i="22"/>
  <c r="G13" i="22"/>
  <c r="G12" i="22"/>
  <c r="J4" i="22"/>
  <c r="K4" i="22" s="1"/>
  <c r="L4" i="22" s="1"/>
  <c r="M4" i="22" s="1"/>
  <c r="N4" i="22" s="1"/>
  <c r="O4" i="22" s="1"/>
  <c r="P4" i="22" s="1"/>
  <c r="Q4" i="22" s="1"/>
  <c r="R4" i="22" s="1"/>
  <c r="S4" i="22" s="1"/>
  <c r="T4" i="22" s="1"/>
  <c r="U4" i="22" s="1"/>
  <c r="V4" i="22" s="1"/>
  <c r="W4" i="22" s="1"/>
  <c r="X4" i="22" s="1"/>
  <c r="Y4" i="22" s="1"/>
  <c r="Z4" i="22" s="1"/>
  <c r="AA4" i="22" s="1"/>
  <c r="AB4" i="22" s="1"/>
  <c r="AC4" i="22" s="1"/>
  <c r="AD4" i="22" s="1"/>
  <c r="AE4" i="22" s="1"/>
  <c r="AF4" i="22" s="1"/>
  <c r="AG4" i="22" s="1"/>
  <c r="AH4" i="22" s="1"/>
  <c r="AI4" i="22" s="1"/>
  <c r="AJ4" i="22" s="1"/>
  <c r="AK4" i="22" s="1"/>
  <c r="AL4" i="22" s="1"/>
  <c r="AM4" i="22" s="1"/>
  <c r="AN4" i="22" s="1"/>
  <c r="AO4" i="22" s="1"/>
  <c r="AP4" i="22" s="1"/>
  <c r="AQ4" i="22" s="1"/>
  <c r="AR4" i="22" s="1"/>
  <c r="AS4" i="22" s="1"/>
  <c r="AT4" i="22" s="1"/>
  <c r="AU4" i="22" s="1"/>
  <c r="AV4" i="22" s="1"/>
  <c r="AW4" i="22" s="1"/>
  <c r="AX4" i="22" s="1"/>
  <c r="AY4" i="22" s="1"/>
  <c r="AZ4" i="22" s="1"/>
  <c r="BA4" i="22" s="1"/>
  <c r="BB4" i="22" s="1"/>
  <c r="BC4" i="22" s="1"/>
  <c r="BD4" i="22" s="1"/>
  <c r="BE4" i="22" s="1"/>
  <c r="BF4" i="22" s="1"/>
  <c r="BG4" i="22" s="1"/>
  <c r="BH4" i="22" s="1"/>
  <c r="BI4" i="22" s="1"/>
  <c r="BJ4" i="22" s="1"/>
  <c r="BK4" i="22" s="1"/>
  <c r="BL4" i="22" s="1"/>
  <c r="BM4" i="22" s="1"/>
  <c r="BN4" i="22" s="1"/>
  <c r="BO4" i="22" s="1"/>
  <c r="BP4" i="22" s="1"/>
  <c r="BQ4" i="22" s="1"/>
  <c r="BR4" i="22" s="1"/>
  <c r="BS4" i="22" s="1"/>
  <c r="BT4" i="22" s="1"/>
  <c r="BU4" i="22" s="1"/>
  <c r="BV4" i="22" s="1"/>
  <c r="BW4" i="22" s="1"/>
  <c r="BX4" i="22" s="1"/>
  <c r="BY4" i="22" s="1"/>
  <c r="BZ4" i="22" s="1"/>
  <c r="CA4" i="22" s="1"/>
  <c r="CB4" i="22" s="1"/>
  <c r="CC4" i="22" s="1"/>
  <c r="CD4" i="22" s="1"/>
  <c r="CE4" i="22" s="1"/>
  <c r="CF4" i="22" s="1"/>
  <c r="CG4" i="22" s="1"/>
  <c r="CH4" i="22" s="1"/>
  <c r="CI4" i="22" s="1"/>
  <c r="CJ4" i="22" s="1"/>
  <c r="CK4" i="22" s="1"/>
  <c r="CL4" i="22" s="1"/>
  <c r="CM4" i="22" s="1"/>
  <c r="CN4" i="22" s="1"/>
  <c r="CO4" i="22" s="1"/>
  <c r="CP4" i="22" s="1"/>
  <c r="CQ4" i="22" s="1"/>
  <c r="CR4" i="22" s="1"/>
  <c r="CS4" i="22" s="1"/>
  <c r="CT4" i="22" s="1"/>
  <c r="CU4" i="22" s="1"/>
  <c r="CV4" i="22" s="1"/>
  <c r="CW4" i="22" s="1"/>
  <c r="CX4" i="22" s="1"/>
  <c r="CY4" i="22" s="1"/>
  <c r="CZ4" i="22" s="1"/>
  <c r="X37" i="17"/>
  <c r="W37" i="17"/>
  <c r="V37" i="17"/>
  <c r="U37" i="17"/>
  <c r="T37" i="17"/>
  <c r="S37" i="17"/>
  <c r="Q37" i="17"/>
  <c r="D37" i="17"/>
  <c r="X36" i="17"/>
  <c r="W36" i="17"/>
  <c r="V36" i="17"/>
  <c r="U36" i="17"/>
  <c r="T36" i="17"/>
  <c r="S36" i="17"/>
  <c r="Q36" i="17"/>
  <c r="N36" i="17"/>
  <c r="D36" i="17"/>
  <c r="X35" i="17"/>
  <c r="W35" i="17"/>
  <c r="V35" i="17"/>
  <c r="U35" i="17"/>
  <c r="T35" i="17"/>
  <c r="S35" i="17"/>
  <c r="Q35" i="17"/>
  <c r="N35" i="17"/>
  <c r="D35" i="17"/>
  <c r="X34" i="17"/>
  <c r="W34" i="17"/>
  <c r="V34" i="17"/>
  <c r="U34" i="17"/>
  <c r="T34" i="17"/>
  <c r="S34" i="17"/>
  <c r="Q34" i="17"/>
  <c r="N34" i="17"/>
  <c r="D34" i="17"/>
  <c r="X33" i="17"/>
  <c r="W33" i="17"/>
  <c r="V33" i="17"/>
  <c r="U33" i="17"/>
  <c r="T33" i="17"/>
  <c r="S33" i="17"/>
  <c r="Q33" i="17"/>
  <c r="N33" i="17"/>
  <c r="D33" i="17"/>
  <c r="X32" i="17"/>
  <c r="W32" i="17"/>
  <c r="V32" i="17"/>
  <c r="U32" i="17"/>
  <c r="T32" i="17"/>
  <c r="S32" i="17"/>
  <c r="Q32" i="17"/>
  <c r="N32" i="17"/>
  <c r="D32" i="17"/>
  <c r="X31" i="17"/>
  <c r="W31" i="17"/>
  <c r="V31" i="17"/>
  <c r="U31" i="17"/>
  <c r="T31" i="17"/>
  <c r="S31" i="17"/>
  <c r="Q31" i="17"/>
  <c r="N31" i="17"/>
  <c r="D31" i="17"/>
  <c r="X30" i="17"/>
  <c r="W30" i="17"/>
  <c r="V30" i="17"/>
  <c r="U30" i="17"/>
  <c r="T30" i="17"/>
  <c r="S30" i="17"/>
  <c r="Q30" i="17"/>
  <c r="N30" i="17"/>
  <c r="D30" i="17"/>
  <c r="X29" i="17"/>
  <c r="W29" i="17"/>
  <c r="V29" i="17"/>
  <c r="U29" i="17"/>
  <c r="T29" i="17"/>
  <c r="S29" i="17"/>
  <c r="Q29" i="17"/>
  <c r="N29" i="17"/>
  <c r="D29" i="17"/>
  <c r="D10" i="17"/>
  <c r="AU19" i="7"/>
  <c r="AN19" i="7"/>
  <c r="U19" i="7"/>
  <c r="AU18" i="7"/>
  <c r="AN18" i="7"/>
  <c r="U18" i="7"/>
  <c r="AU17" i="7"/>
  <c r="AN17" i="7"/>
  <c r="U17" i="7"/>
  <c r="AU16" i="7"/>
  <c r="AN16" i="7"/>
  <c r="U16" i="7"/>
  <c r="AU8" i="7"/>
  <c r="AN8" i="7"/>
  <c r="U8" i="7"/>
  <c r="AU7" i="7"/>
  <c r="AN7" i="7"/>
  <c r="U7" i="7"/>
  <c r="AU6" i="7"/>
  <c r="AN6" i="7"/>
  <c r="U6" i="7"/>
  <c r="AU15" i="7"/>
  <c r="AN15" i="7"/>
  <c r="U15" i="7"/>
  <c r="AU4" i="7"/>
  <c r="AN4" i="7"/>
  <c r="U4" i="7"/>
  <c r="AB30" i="9"/>
  <c r="U30" i="9"/>
  <c r="S30" i="9"/>
  <c r="AB29" i="9"/>
  <c r="S29" i="9"/>
  <c r="U29" i="9" s="1"/>
  <c r="AB28" i="9"/>
  <c r="U28" i="9"/>
  <c r="S28" i="9"/>
  <c r="AB27" i="9"/>
  <c r="S27" i="9"/>
  <c r="U27" i="9" s="1"/>
  <c r="AB26" i="9"/>
  <c r="U26" i="9"/>
  <c r="S26" i="9"/>
  <c r="AB25" i="9"/>
  <c r="S25" i="9"/>
  <c r="U25" i="9" s="1"/>
  <c r="AB24" i="9"/>
  <c r="U24" i="9"/>
  <c r="S24" i="9"/>
  <c r="AB23" i="9"/>
  <c r="S23" i="9"/>
  <c r="U23" i="9" s="1"/>
  <c r="AB22" i="9"/>
  <c r="U22" i="9"/>
  <c r="S22" i="9"/>
  <c r="AB21" i="9"/>
  <c r="S21" i="9"/>
  <c r="U21" i="9" s="1"/>
  <c r="AB20" i="9"/>
  <c r="U20" i="9"/>
  <c r="S20" i="9"/>
  <c r="AB19" i="9"/>
  <c r="S19" i="9"/>
  <c r="U19" i="9" s="1"/>
  <c r="AB18" i="9"/>
  <c r="U18" i="9"/>
  <c r="S18" i="9"/>
  <c r="AB17" i="9"/>
  <c r="S17" i="9"/>
  <c r="U17" i="9" s="1"/>
  <c r="AB16" i="9"/>
  <c r="U16" i="9"/>
  <c r="S16" i="9"/>
  <c r="AB15" i="9"/>
  <c r="S15" i="9"/>
  <c r="U15" i="9" s="1"/>
  <c r="AB14" i="9"/>
  <c r="U14" i="9"/>
  <c r="S14" i="9"/>
  <c r="AB13" i="9"/>
  <c r="S13" i="9"/>
  <c r="U13" i="9" s="1"/>
  <c r="AB12" i="9"/>
  <c r="U12" i="9"/>
  <c r="S12" i="9"/>
  <c r="AB11" i="9"/>
  <c r="S11" i="9"/>
  <c r="U11" i="9" s="1"/>
  <c r="AB10" i="9"/>
  <c r="U10" i="9"/>
  <c r="S10" i="9"/>
  <c r="AB9" i="9"/>
  <c r="S9" i="9"/>
  <c r="U9" i="9" s="1"/>
  <c r="AB8" i="9"/>
  <c r="U8" i="9"/>
  <c r="S8" i="9"/>
  <c r="AB7" i="9"/>
  <c r="S7" i="9"/>
  <c r="U7" i="9" s="1"/>
  <c r="AB6" i="9"/>
  <c r="U6" i="9"/>
  <c r="S6" i="9"/>
  <c r="AB5" i="9"/>
  <c r="S5" i="9"/>
  <c r="U5" i="9" s="1"/>
  <c r="AB4" i="9"/>
  <c r="U4" i="9"/>
  <c r="S4" i="9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8" i="16"/>
  <c r="A24" i="16"/>
  <c r="A23" i="16"/>
  <c r="A22" i="16"/>
  <c r="A21" i="16"/>
  <c r="A20" i="16"/>
  <c r="A17" i="16"/>
  <c r="A16" i="16"/>
  <c r="A1" i="16"/>
  <c r="Z34" i="15"/>
  <c r="S34" i="15"/>
  <c r="C34" i="15"/>
  <c r="S33" i="15"/>
  <c r="C33" i="15"/>
  <c r="Z32" i="15"/>
  <c r="S32" i="15"/>
  <c r="C32" i="15"/>
  <c r="Z31" i="15"/>
  <c r="S31" i="15"/>
  <c r="C31" i="15"/>
  <c r="A29" i="16" s="1"/>
  <c r="Z30" i="15"/>
  <c r="S30" i="15"/>
  <c r="C30" i="15"/>
  <c r="Z29" i="15"/>
  <c r="S29" i="15"/>
  <c r="C29" i="15"/>
  <c r="A27" i="16" s="1"/>
  <c r="Z28" i="15"/>
  <c r="S28" i="15"/>
  <c r="C28" i="15"/>
  <c r="A26" i="16" s="1"/>
  <c r="Z27" i="15"/>
  <c r="S27" i="15"/>
  <c r="C27" i="15"/>
  <c r="A25" i="16" s="1"/>
  <c r="Z26" i="15"/>
  <c r="S26" i="15"/>
  <c r="C26" i="15"/>
  <c r="Z25" i="15"/>
  <c r="S25" i="15"/>
  <c r="C25" i="15"/>
  <c r="Z24" i="15"/>
  <c r="S24" i="15"/>
  <c r="C24" i="15"/>
  <c r="Z23" i="15"/>
  <c r="S23" i="15"/>
  <c r="C23" i="15"/>
  <c r="Z22" i="15"/>
  <c r="S22" i="15"/>
  <c r="C22" i="15"/>
  <c r="Z21" i="15"/>
  <c r="S21" i="15"/>
  <c r="C21" i="15"/>
  <c r="A19" i="16" s="1"/>
  <c r="Z20" i="15"/>
  <c r="S20" i="15"/>
  <c r="C20" i="15"/>
  <c r="A18" i="16" s="1"/>
  <c r="Z19" i="15"/>
  <c r="S19" i="15"/>
  <c r="C19" i="15"/>
  <c r="Z18" i="15"/>
  <c r="S18" i="15"/>
  <c r="C18" i="15"/>
  <c r="Z17" i="15"/>
  <c r="S17" i="15"/>
  <c r="C17" i="15"/>
  <c r="A15" i="16" s="1"/>
  <c r="Z16" i="15"/>
  <c r="S16" i="15"/>
  <c r="C16" i="15"/>
  <c r="A14" i="16" s="1"/>
  <c r="Z15" i="15"/>
  <c r="S15" i="15"/>
  <c r="C15" i="15"/>
  <c r="Z14" i="15"/>
  <c r="S14" i="15"/>
  <c r="C14" i="15"/>
  <c r="Z13" i="15"/>
  <c r="S13" i="15"/>
  <c r="C13" i="15"/>
  <c r="Z12" i="15"/>
  <c r="S12" i="15"/>
  <c r="C12" i="15"/>
  <c r="Z11" i="15"/>
  <c r="S11" i="15"/>
  <c r="C11" i="15"/>
  <c r="Z10" i="15"/>
  <c r="S10" i="15"/>
  <c r="C10" i="15"/>
  <c r="Z9" i="15"/>
  <c r="S9" i="15"/>
  <c r="C9" i="15"/>
  <c r="Z8" i="15"/>
  <c r="S8" i="15"/>
  <c r="C8" i="15"/>
  <c r="Z7" i="15"/>
  <c r="S7" i="15"/>
  <c r="C7" i="15"/>
  <c r="A5" i="16" s="1"/>
  <c r="Z6" i="15"/>
  <c r="S6" i="15"/>
  <c r="C6" i="15"/>
  <c r="Z5" i="15"/>
  <c r="S5" i="15"/>
  <c r="C5" i="15"/>
  <c r="Z4" i="15"/>
  <c r="S4" i="15"/>
  <c r="C4" i="15"/>
  <c r="Z3" i="15"/>
  <c r="S3" i="15"/>
  <c r="C3" i="15"/>
  <c r="F23" i="8"/>
  <c r="E23" i="8"/>
  <c r="F22" i="8"/>
  <c r="E22" i="8"/>
  <c r="F21" i="8"/>
  <c r="E21" i="8"/>
  <c r="J15" i="8"/>
  <c r="I15" i="8"/>
  <c r="J14" i="8"/>
  <c r="I14" i="8"/>
  <c r="J13" i="8"/>
  <c r="I13" i="8"/>
  <c r="J8" i="8"/>
  <c r="I8" i="8"/>
  <c r="J7" i="8"/>
  <c r="I7" i="8"/>
  <c r="J6" i="8"/>
  <c r="I6" i="8"/>
  <c r="G90" i="22" l="1"/>
  <c r="AW17" i="7"/>
  <c r="Y29" i="17"/>
  <c r="F4" i="27" s="1"/>
  <c r="Y33" i="17"/>
  <c r="F8" i="27" s="1"/>
  <c r="Y30" i="17"/>
  <c r="F5" i="27" s="1"/>
  <c r="Y34" i="17"/>
  <c r="F9" i="27" s="1"/>
  <c r="Y31" i="17"/>
  <c r="F6" i="27" s="1"/>
  <c r="Y35" i="17"/>
  <c r="F10" i="27" s="1"/>
  <c r="D9" i="17"/>
  <c r="D13" i="17" s="1"/>
  <c r="D14" i="17" s="1"/>
  <c r="E9" i="17"/>
  <c r="Y32" i="17"/>
  <c r="F7" i="27" s="1"/>
  <c r="AW6" i="7"/>
  <c r="AX6" i="7" s="1"/>
  <c r="Y37" i="17"/>
  <c r="F12" i="27" s="1"/>
  <c r="G55" i="22"/>
  <c r="D54" i="22"/>
  <c r="G54" i="22" s="1"/>
  <c r="G15" i="22"/>
  <c r="D22" i="22"/>
  <c r="G22" i="22" s="1"/>
  <c r="Y36" i="17"/>
  <c r="F11" i="27" s="1"/>
  <c r="AW7" i="7"/>
  <c r="AW18" i="7"/>
  <c r="H13" i="27" s="1"/>
  <c r="AW19" i="7"/>
  <c r="AW4" i="7"/>
  <c r="AV4" i="7" s="1"/>
  <c r="H6" i="27" s="1"/>
  <c r="AW15" i="7"/>
  <c r="AW8" i="7"/>
  <c r="H10" i="27" s="1"/>
  <c r="J10" i="27" s="1"/>
  <c r="AW16" i="7"/>
  <c r="H11" i="27" s="1"/>
  <c r="H8" i="27"/>
  <c r="H12" i="27"/>
  <c r="I12" i="27" s="1"/>
  <c r="AX7" i="7"/>
  <c r="H9" i="27"/>
  <c r="I9" i="27" s="1"/>
  <c r="H7" i="27"/>
  <c r="I7" i="27" s="1"/>
  <c r="F59" i="22"/>
  <c r="G59" i="22" s="1"/>
  <c r="G82" i="22"/>
  <c r="G11" i="22"/>
  <c r="G97" i="22"/>
  <c r="AX8" i="7" l="1"/>
  <c r="K8" i="27"/>
  <c r="K12" i="27"/>
  <c r="J12" i="27"/>
  <c r="F13" i="27"/>
  <c r="H14" i="27"/>
  <c r="I14" i="27" s="1"/>
  <c r="J9" i="27"/>
  <c r="K7" i="27"/>
  <c r="K9" i="27"/>
  <c r="K11" i="27"/>
  <c r="I11" i="27"/>
  <c r="K13" i="27"/>
  <c r="I13" i="27"/>
  <c r="J13" i="27"/>
  <c r="I8" i="27"/>
  <c r="AX4" i="7"/>
  <c r="K6" i="27" s="1"/>
  <c r="J8" i="27"/>
  <c r="J11" i="27"/>
  <c r="J7" i="27"/>
  <c r="K10" i="27"/>
  <c r="I6" i="27"/>
  <c r="I10" i="27"/>
  <c r="J6" i="27"/>
  <c r="K14" i="27" l="1"/>
  <c r="J14" i="27"/>
  <c r="D15" i="17"/>
</calcChain>
</file>

<file path=xl/sharedStrings.xml><?xml version="1.0" encoding="utf-8"?>
<sst xmlns="http://schemas.openxmlformats.org/spreadsheetml/2006/main" count="2004" uniqueCount="613">
  <si>
    <t>S.No</t>
  </si>
  <si>
    <t>Status</t>
  </si>
  <si>
    <t>Owner</t>
  </si>
  <si>
    <t>Uploaded In SharePoint</t>
  </si>
  <si>
    <t>Completed</t>
  </si>
  <si>
    <t>Yes</t>
  </si>
  <si>
    <t>Maree</t>
  </si>
  <si>
    <t>-</t>
  </si>
  <si>
    <t>In-Progress</t>
  </si>
  <si>
    <t>NA</t>
  </si>
  <si>
    <t>End Delivery</t>
  </si>
  <si>
    <t>BAB</t>
  </si>
  <si>
    <t>CIB</t>
  </si>
  <si>
    <t>Emp.ID</t>
  </si>
  <si>
    <t>Employee Name</t>
  </si>
  <si>
    <t>Gender</t>
  </si>
  <si>
    <t>Mobile/Phone</t>
  </si>
  <si>
    <t>Email</t>
  </si>
  <si>
    <t>Cluster</t>
  </si>
  <si>
    <t>Notice Period</t>
  </si>
  <si>
    <t>Ashlin Jenefer Christopher</t>
  </si>
  <si>
    <t>Infiniti</t>
  </si>
  <si>
    <t>No</t>
  </si>
  <si>
    <t>Male</t>
  </si>
  <si>
    <t>M1139</t>
  </si>
  <si>
    <t>LIBA Intern</t>
  </si>
  <si>
    <t>M1140</t>
  </si>
  <si>
    <t>M1141</t>
  </si>
  <si>
    <t>M1149</t>
  </si>
  <si>
    <t>Mohan Murugesan</t>
  </si>
  <si>
    <t>mohanmg@maveric-systems.com</t>
  </si>
  <si>
    <t>M1135</t>
  </si>
  <si>
    <t>Gopinath Anbalagan</t>
  </si>
  <si>
    <t>gopinatha@maveric-systems.com</t>
  </si>
  <si>
    <t>Jupiter</t>
  </si>
  <si>
    <t>M1159</t>
  </si>
  <si>
    <t>Vinoth Chinnapillai</t>
  </si>
  <si>
    <t>vinothc@maveric-systems.com</t>
  </si>
  <si>
    <t>Project Phase</t>
  </si>
  <si>
    <t>Tool Set</t>
  </si>
  <si>
    <t>RAG Status</t>
  </si>
  <si>
    <t>Projected GM</t>
  </si>
  <si>
    <t>Projected GM %</t>
  </si>
  <si>
    <t>Actual Resource</t>
  </si>
  <si>
    <t xml:space="preserve">Client </t>
  </si>
  <si>
    <t>Logo</t>
  </si>
  <si>
    <t>Location</t>
  </si>
  <si>
    <t>RFP Mode</t>
  </si>
  <si>
    <t>Application Under Test</t>
  </si>
  <si>
    <t>Resource Estimation</t>
  </si>
  <si>
    <t>Comments</t>
  </si>
  <si>
    <t>Total</t>
  </si>
  <si>
    <t>ABC</t>
  </si>
  <si>
    <t>NN</t>
  </si>
  <si>
    <t>Bahrain</t>
  </si>
  <si>
    <t>Performance Testing</t>
  </si>
  <si>
    <t>Integrated RFP</t>
  </si>
  <si>
    <t>Mobile Banking</t>
  </si>
  <si>
    <t>Won</t>
  </si>
  <si>
    <t>Projection 4 Months, T&amp;M model</t>
  </si>
  <si>
    <t>Al Hilal</t>
  </si>
  <si>
    <t>EN</t>
  </si>
  <si>
    <t>Abu Dhabi</t>
  </si>
  <si>
    <t>T24 - Core Banking</t>
  </si>
  <si>
    <t>TBD</t>
  </si>
  <si>
    <t>Bank of Jordan</t>
  </si>
  <si>
    <t>Jordan</t>
  </si>
  <si>
    <t>Bank Dhofar</t>
  </si>
  <si>
    <t>Muscat</t>
  </si>
  <si>
    <t>Performance RFP</t>
  </si>
  <si>
    <t>CRM next</t>
  </si>
  <si>
    <t>Not Won</t>
  </si>
  <si>
    <t>BBK</t>
  </si>
  <si>
    <t>Cash Management Solutions</t>
  </si>
  <si>
    <t>Project is yet to be kick started</t>
  </si>
  <si>
    <t>Digital (Mobile, Tabloit, Internet Banking)</t>
  </si>
  <si>
    <t>CBD</t>
  </si>
  <si>
    <t>Dubai</t>
  </si>
  <si>
    <t>Mobile Banking, CRM, Customer onboarding</t>
  </si>
  <si>
    <t>Egypt</t>
  </si>
  <si>
    <t>EXUS Collection Systems</t>
  </si>
  <si>
    <t>Ithmaar</t>
  </si>
  <si>
    <t>Liability, CRM, Collection, MB</t>
  </si>
  <si>
    <t>QNB</t>
  </si>
  <si>
    <t>Qatar</t>
  </si>
  <si>
    <t>Public Site</t>
  </si>
  <si>
    <t>SABB</t>
  </si>
  <si>
    <t>KSA</t>
  </si>
  <si>
    <t>Cortex, Cards400, HUB</t>
  </si>
  <si>
    <t>SABB &amp; Alawwal Merger</t>
  </si>
  <si>
    <t>RAK</t>
  </si>
  <si>
    <t>Middleware Upgrade</t>
  </si>
  <si>
    <t>Ahli Bank</t>
  </si>
  <si>
    <t>ANB</t>
  </si>
  <si>
    <t>Mubasher Trade application</t>
  </si>
  <si>
    <t>2 weeks - Offshore</t>
  </si>
  <si>
    <t>Sahem IPO</t>
  </si>
  <si>
    <t>10 Days - Offshore</t>
  </si>
  <si>
    <t>DIB</t>
  </si>
  <si>
    <t>Oracle Forms Login Screen</t>
  </si>
  <si>
    <t>FIS Front Arena</t>
  </si>
  <si>
    <t>EIPO Portal</t>
  </si>
  <si>
    <t>Alawwal</t>
  </si>
  <si>
    <t>IPO Module (IB, MB, T24)</t>
  </si>
  <si>
    <t>Complete onsite</t>
  </si>
  <si>
    <t>IB, MB, E-Wallet</t>
  </si>
  <si>
    <t>UAB</t>
  </si>
  <si>
    <t>Retail Mobile Banking</t>
  </si>
  <si>
    <t>QIB</t>
  </si>
  <si>
    <t>Base 24 EPS</t>
  </si>
  <si>
    <t>NBF</t>
  </si>
  <si>
    <t>T24 - Core Banking Upgrade (Baseline &amp; Benchmarking)</t>
  </si>
  <si>
    <t>Bank Muscat</t>
  </si>
  <si>
    <t>CLOS - Corporate LOS</t>
  </si>
  <si>
    <t>Oracle ERP - LMS</t>
  </si>
  <si>
    <t>Projection 1 Months</t>
  </si>
  <si>
    <t>RFP Submission Date</t>
  </si>
  <si>
    <t>Tentative Kick off Date</t>
  </si>
  <si>
    <t>Work Location</t>
  </si>
  <si>
    <t>Bench Aging Days</t>
  </si>
  <si>
    <t>Client</t>
  </si>
  <si>
    <t>Project Delivery Mode</t>
  </si>
  <si>
    <t>TL ON</t>
  </si>
  <si>
    <t>TL OFF</t>
  </si>
  <si>
    <t>TE ON</t>
  </si>
  <si>
    <t>TE OFF</t>
  </si>
  <si>
    <t>Proposed PT Tool</t>
  </si>
  <si>
    <t>RPT</t>
  </si>
  <si>
    <t>Resource Status</t>
  </si>
  <si>
    <t>No. of Non-Project Activities</t>
  </si>
  <si>
    <t>No. of Projects
2019 - 2020</t>
  </si>
  <si>
    <t>Current Designation</t>
  </si>
  <si>
    <t>LR</t>
  </si>
  <si>
    <t>Fixed Bid</t>
  </si>
  <si>
    <t>T&amp;M</t>
  </si>
  <si>
    <t>Proposed Duration (Days)</t>
  </si>
  <si>
    <t>Project Name</t>
  </si>
  <si>
    <t>Project Code</t>
  </si>
  <si>
    <t>Delivery Manager</t>
  </si>
  <si>
    <t>Budgeted 
Service Cost</t>
  </si>
  <si>
    <t>Budgeted 
Tool Cost</t>
  </si>
  <si>
    <t>Budgeted
Total Cost (USD)</t>
  </si>
  <si>
    <t>TM ON</t>
  </si>
  <si>
    <t>TM OFF</t>
  </si>
  <si>
    <t>Planned Resource</t>
  </si>
  <si>
    <t>Planned</t>
  </si>
  <si>
    <t>Actual</t>
  </si>
  <si>
    <t>Start Date</t>
  </si>
  <si>
    <t>End Date</t>
  </si>
  <si>
    <t>Grand Total</t>
  </si>
  <si>
    <t>Count of Status</t>
  </si>
  <si>
    <t>Sum of Budgeted</t>
  </si>
  <si>
    <t>Conversion %</t>
  </si>
  <si>
    <t>Overall Expected Revenue</t>
  </si>
  <si>
    <t>Sum of Projected GM</t>
  </si>
  <si>
    <t>Over all Projected GM % from Projects Won</t>
  </si>
  <si>
    <t>Proposal Status and Coversion Rate</t>
  </si>
  <si>
    <t>Transaction Count</t>
  </si>
  <si>
    <t>IBM RPT</t>
  </si>
  <si>
    <t>Deployed</t>
  </si>
  <si>
    <t>Test Manager</t>
  </si>
  <si>
    <t>Current Project Details</t>
  </si>
  <si>
    <t>Testing Type</t>
  </si>
  <si>
    <t>JMeter</t>
  </si>
  <si>
    <t>TCSBancs Core Banking</t>
  </si>
  <si>
    <t>BSF</t>
  </si>
  <si>
    <t>Project is estimated to deliver in 4 Phases</t>
  </si>
  <si>
    <t>T24 Core Banking</t>
  </si>
  <si>
    <t>Al-Rajhi</t>
  </si>
  <si>
    <t>Last Release Date</t>
  </si>
  <si>
    <t>Senior Manager</t>
  </si>
  <si>
    <t>Leadership Layer</t>
  </si>
  <si>
    <t>Tools</t>
  </si>
  <si>
    <t>RPA</t>
  </si>
  <si>
    <t>Cloud computing</t>
  </si>
  <si>
    <t>DevOps</t>
  </si>
  <si>
    <t>ML</t>
  </si>
  <si>
    <t>IoT</t>
  </si>
  <si>
    <t>Microservices</t>
  </si>
  <si>
    <t>Cyber security</t>
  </si>
  <si>
    <t>Performance</t>
  </si>
  <si>
    <t>Primary Expertise</t>
  </si>
  <si>
    <t>Secondary Expertise</t>
  </si>
  <si>
    <t>Tertiary Expertise</t>
  </si>
  <si>
    <t>Engagement Model</t>
  </si>
  <si>
    <t>Chennai (Maveric)</t>
  </si>
  <si>
    <t>Spectrum</t>
  </si>
  <si>
    <t>BAU</t>
  </si>
  <si>
    <t>API</t>
  </si>
  <si>
    <t>E2E Trnx</t>
  </si>
  <si>
    <t>Web Services</t>
  </si>
  <si>
    <t>Execution</t>
  </si>
  <si>
    <t>Product Owner</t>
  </si>
  <si>
    <t>Infosys</t>
  </si>
  <si>
    <t>Prime 4 Upgrade</t>
  </si>
  <si>
    <t>Budgeted Cost</t>
  </si>
  <si>
    <t>Hybrid</t>
  </si>
  <si>
    <t>SPOC</t>
  </si>
  <si>
    <t>SIB</t>
  </si>
  <si>
    <t>Retail &amp; Corporate IB &amp; MB Upgrade</t>
  </si>
  <si>
    <t>Retail_CORP IB &amp; MB_Upgrade</t>
  </si>
  <si>
    <t>Sharjah</t>
  </si>
  <si>
    <t>Gulf Payments_Performance</t>
  </si>
  <si>
    <t>GPC</t>
  </si>
  <si>
    <t>Knowledge Sharing</t>
  </si>
  <si>
    <t>6 Months staffing - STE position</t>
  </si>
  <si>
    <t>6 Months staffing - TL position</t>
  </si>
  <si>
    <t>Staffing_STE</t>
  </si>
  <si>
    <t>Staffing_TL</t>
  </si>
  <si>
    <t>Need confirm on the Budgeted Cost &amp; GM%</t>
  </si>
  <si>
    <t>Internal Status</t>
  </si>
  <si>
    <t>Legal</t>
  </si>
  <si>
    <t>PO/SOW Signed</t>
  </si>
  <si>
    <t>Ashlin</t>
  </si>
  <si>
    <t>Corporate LOS - CAD</t>
  </si>
  <si>
    <t>Newgen</t>
  </si>
  <si>
    <t>PO Number</t>
  </si>
  <si>
    <t>Ashlin Jenefer</t>
  </si>
  <si>
    <t>NFT</t>
  </si>
  <si>
    <t>Tagged To</t>
  </si>
  <si>
    <t>Current Work Location</t>
  </si>
  <si>
    <t>Planned Release Date</t>
  </si>
  <si>
    <t>Emp ID</t>
  </si>
  <si>
    <t>Emp Name</t>
  </si>
  <si>
    <t>Project Role</t>
  </si>
  <si>
    <t>RATE CARD</t>
  </si>
  <si>
    <t>ON Billing Days</t>
  </si>
  <si>
    <t>OFF Billing Days</t>
  </si>
  <si>
    <t>Total Billing days</t>
  </si>
  <si>
    <t>Currency</t>
  </si>
  <si>
    <t>OA PIN</t>
  </si>
  <si>
    <t>PO Description</t>
  </si>
  <si>
    <t>BM PO NO</t>
  </si>
  <si>
    <t>Planned BILLING DAYS</t>
  </si>
  <si>
    <t>Actual BILLING DAYS</t>
  </si>
  <si>
    <t>USD</t>
  </si>
  <si>
    <t>Role</t>
  </si>
  <si>
    <t>Mon. ON Rate</t>
  </si>
  <si>
    <t>Mon. OFF Rate</t>
  </si>
  <si>
    <t>PO Usage</t>
  </si>
  <si>
    <t>ON Cost</t>
  </si>
  <si>
    <t>OFF Cost</t>
  </si>
  <si>
    <t>PTE</t>
  </si>
  <si>
    <t>PTL</t>
  </si>
  <si>
    <t>Billing Start Date</t>
  </si>
  <si>
    <t>Billing End Date</t>
  </si>
  <si>
    <t>Category</t>
  </si>
  <si>
    <t>Onsite Usage</t>
  </si>
  <si>
    <t>Offshore Usage</t>
  </si>
  <si>
    <t>IB Parallel Load to MBS &amp; MBR</t>
  </si>
  <si>
    <t>Effort variance</t>
  </si>
  <si>
    <t>Repository Update Status</t>
  </si>
  <si>
    <t>Estimated Man-days</t>
  </si>
  <si>
    <t>Actual Man-days</t>
  </si>
  <si>
    <t>Planned Project Delivery Model</t>
  </si>
  <si>
    <t>Actual Project Delivery Model</t>
  </si>
  <si>
    <t>Onsite</t>
  </si>
  <si>
    <t>Total Cost utilized</t>
  </si>
  <si>
    <t>Landscape</t>
  </si>
  <si>
    <t>Front Office</t>
  </si>
  <si>
    <t>Year of Kickstart</t>
  </si>
  <si>
    <t>Remaining PO Cost</t>
  </si>
  <si>
    <t>Column Labels</t>
  </si>
  <si>
    <t>Mohan</t>
  </si>
  <si>
    <t>CLOS - CAD</t>
  </si>
  <si>
    <t>IT Support</t>
  </si>
  <si>
    <t>Planning</t>
  </si>
  <si>
    <t>Arconnet</t>
  </si>
  <si>
    <t>Digital Channel</t>
  </si>
  <si>
    <t>PAM</t>
  </si>
  <si>
    <t>Template</t>
  </si>
  <si>
    <t>MS PPT</t>
  </si>
  <si>
    <t>Presentation</t>
  </si>
  <si>
    <t>MS Excel</t>
  </si>
  <si>
    <t>Updation of ESB Logs analysis Utility</t>
  </si>
  <si>
    <t>Utility</t>
  </si>
  <si>
    <t>Excel Macro</t>
  </si>
  <si>
    <t>Updation of RPT response time parser</t>
  </si>
  <si>
    <t>NFR Gathering Template creation</t>
  </si>
  <si>
    <t>Offshore</t>
  </si>
  <si>
    <t>Utilized %</t>
  </si>
  <si>
    <t>1 PTE</t>
  </si>
  <si>
    <t>Aug</t>
  </si>
  <si>
    <t>Sep</t>
  </si>
  <si>
    <t>oct</t>
  </si>
  <si>
    <t>Nov</t>
  </si>
  <si>
    <t>Dec</t>
  </si>
  <si>
    <t>Jan</t>
  </si>
  <si>
    <t>2 PTE</t>
  </si>
  <si>
    <t>1 PTL + 1 PTE</t>
  </si>
  <si>
    <t>Month</t>
  </si>
  <si>
    <t>Resourcing</t>
  </si>
  <si>
    <t>Mohan Murgesan</t>
  </si>
  <si>
    <t>Mohan/ Maree</t>
  </si>
  <si>
    <t>BM - Performance BAU</t>
  </si>
  <si>
    <t>Released on</t>
  </si>
  <si>
    <t>Bank Muscat - Performance BAU</t>
  </si>
  <si>
    <t xml:space="preserve"> Period Highlight:</t>
  </si>
  <si>
    <t>Plan Duration</t>
  </si>
  <si>
    <t>Actual Start</t>
  </si>
  <si>
    <t>Performance Testing Activities</t>
  </si>
  <si>
    <t>PLAN START</t>
  </si>
  <si>
    <t>PLAN DURATION</t>
  </si>
  <si>
    <t>ACTUAL START</t>
  </si>
  <si>
    <t>ACTUAL DURATION</t>
  </si>
  <si>
    <t>PERCENT COMPLETE</t>
  </si>
  <si>
    <t>Test Planing</t>
  </si>
  <si>
    <t>Test Design</t>
  </si>
  <si>
    <t>Test Execution</t>
  </si>
  <si>
    <t>Onsite/ Offshore Movement + VPN Access - BCP Break</t>
  </si>
  <si>
    <t>Sanity Test &amp; 30% Load Test</t>
  </si>
  <si>
    <t>50% Load Test</t>
  </si>
  <si>
    <t>100% Load Test</t>
  </si>
  <si>
    <t>Endurance Test</t>
  </si>
  <si>
    <t>Stress Test</t>
  </si>
  <si>
    <t>Branch PT</t>
  </si>
  <si>
    <t>Closure Report, Walkthrough &amp; Sign-Off</t>
  </si>
  <si>
    <t>IB - MBR PT</t>
  </si>
  <si>
    <t>Scope Finalization &amp; Environment readiness check</t>
  </si>
  <si>
    <t>Test Data Creation &amp; Setup</t>
  </si>
  <si>
    <t>Scripting Maintanance</t>
  </si>
  <si>
    <t>30% Load Test</t>
  </si>
  <si>
    <t>Scalability Test</t>
  </si>
  <si>
    <t>Spike Test</t>
  </si>
  <si>
    <t>Test Results Walkthrough &amp; Sign-Off</t>
  </si>
  <si>
    <t>Eid Break</t>
  </si>
  <si>
    <t>Privilage Access Management</t>
  </si>
  <si>
    <t>Planning &amp; POC</t>
  </si>
  <si>
    <t>PT Pre-requsites</t>
  </si>
  <si>
    <t>Gather Production Performance Issues &amp; Obtain required logs</t>
  </si>
  <si>
    <t>Conduct Root Cause Analysis &amp; Publish RCA report</t>
  </si>
  <si>
    <t>Gather Performance Testing Requirement</t>
  </si>
  <si>
    <t>Performance Test Environment readiness</t>
  </si>
  <si>
    <t>Finalize Performance Metrics</t>
  </si>
  <si>
    <t>Publish Test Strategy</t>
  </si>
  <si>
    <r>
      <rPr>
        <sz val="12"/>
        <color rgb="FF404040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rgb="FF404040"/>
        <rFont val="Calibri"/>
        <family val="2"/>
      </rPr>
      <t>Complete</t>
    </r>
  </si>
  <si>
    <r>
      <rPr>
        <sz val="12"/>
        <color rgb="FF404040"/>
        <rFont val="Calibri"/>
        <family val="2"/>
      </rPr>
      <t>Actual (beyond plan</t>
    </r>
    <r>
      <rPr>
        <sz val="11"/>
        <color theme="1"/>
        <rFont val="Calibri"/>
        <family val="2"/>
        <scheme val="minor"/>
      </rPr>
      <t>)</t>
    </r>
  </si>
  <si>
    <r>
      <rPr>
        <sz val="12"/>
        <color rgb="FF404040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rgb="FF404040"/>
        <rFont val="Calibri"/>
        <family val="2"/>
      </rPr>
      <t>Complete (beyond plan)</t>
    </r>
  </si>
  <si>
    <t>Resource Name</t>
  </si>
  <si>
    <t>Calendar Month</t>
  </si>
  <si>
    <t>Mar</t>
  </si>
  <si>
    <t>ON Present Days</t>
  </si>
  <si>
    <t>OFF Present Days</t>
  </si>
  <si>
    <t>ON Leaves</t>
  </si>
  <si>
    <t>OFF Leaves</t>
  </si>
  <si>
    <t>Apr</t>
  </si>
  <si>
    <t>May</t>
  </si>
  <si>
    <t>Jun</t>
  </si>
  <si>
    <t>Jul</t>
  </si>
  <si>
    <t>Calendar Year</t>
  </si>
  <si>
    <t>OFF Present</t>
  </si>
  <si>
    <t>ON Present</t>
  </si>
  <si>
    <t>Associate Name</t>
  </si>
  <si>
    <t>Project Title</t>
  </si>
  <si>
    <t>Landscape Mapping</t>
  </si>
  <si>
    <t>O2MS</t>
  </si>
  <si>
    <t>Project Type</t>
  </si>
  <si>
    <t>New Implementation</t>
  </si>
  <si>
    <t>Feature Addition</t>
  </si>
  <si>
    <t>Upgrade</t>
  </si>
  <si>
    <t>Count of Project Type</t>
  </si>
  <si>
    <t>Privilege Access Management</t>
  </si>
  <si>
    <t>Back Office</t>
  </si>
  <si>
    <t>Finacle OCH - IB, MBS, MBR</t>
  </si>
  <si>
    <t>Closure Date</t>
  </si>
  <si>
    <t>Actual Date</t>
  </si>
  <si>
    <t>CI Initiatives/ R&amp;D</t>
  </si>
  <si>
    <t>Test Data Collation and Securing</t>
  </si>
  <si>
    <t>Performance Delivery Challenges &amp; Solutions Deck</t>
  </si>
  <si>
    <t>NFT - BAU - Tracker</t>
  </si>
  <si>
    <t>RCA Report Walkthrough</t>
  </si>
  <si>
    <t>Performance Tuning Valdiation</t>
  </si>
  <si>
    <t>O2MS 8.6 - Batch Jobs</t>
  </si>
  <si>
    <t>IB2MB4 - Phase II - Sprint 1</t>
  </si>
  <si>
    <t>ON - HOL</t>
  </si>
  <si>
    <t>OFF - HOL</t>
  </si>
  <si>
    <t>OA Status</t>
  </si>
  <si>
    <t>CLOS - CAD - Workflow 1</t>
  </si>
  <si>
    <t>VARIENCE</t>
  </si>
  <si>
    <t>Tablet 2.0</t>
  </si>
  <si>
    <t>Automated Account Opening</t>
  </si>
  <si>
    <t>Automated Account Opening - iBPS</t>
  </si>
  <si>
    <t>Oct</t>
  </si>
  <si>
    <t>On-Hold</t>
  </si>
  <si>
    <t>12 Months statement</t>
  </si>
  <si>
    <t>Design</t>
  </si>
  <si>
    <t>IB_ Retail Enterprise and Corporate</t>
  </si>
  <si>
    <t>Discovery</t>
  </si>
  <si>
    <t>Script Maintenance</t>
  </si>
  <si>
    <t>Closure</t>
  </si>
  <si>
    <t>12 Month Account Statement</t>
  </si>
  <si>
    <t>Load test -1</t>
  </si>
  <si>
    <t>Load test -2</t>
  </si>
  <si>
    <t>Load test -3</t>
  </si>
  <si>
    <t>IB Retail &amp; Retail Enterprise</t>
  </si>
  <si>
    <t>Test Execution Productivity</t>
  </si>
  <si>
    <t>Week 1</t>
  </si>
  <si>
    <t>Week 2</t>
  </si>
  <si>
    <t>Week 3</t>
  </si>
  <si>
    <t>Week 4</t>
  </si>
  <si>
    <t>Week 5</t>
  </si>
  <si>
    <t>Week</t>
  </si>
  <si>
    <t>No. of Medium Complex Script</t>
  </si>
  <si>
    <t>No. of Highly Complex Script</t>
  </si>
  <si>
    <t>No. of Low Complex Script</t>
  </si>
  <si>
    <t>Test Script Authoring Productivity</t>
  </si>
  <si>
    <t>No. of Actual Run</t>
  </si>
  <si>
    <t>No. of Ad-Hoc Run</t>
  </si>
  <si>
    <t>No. of Re-Run</t>
  </si>
  <si>
    <t>Row Labels</t>
  </si>
  <si>
    <t>Sum of Test Execution Productivity</t>
  </si>
  <si>
    <t>Sum of Test Script Authoring Productivity</t>
  </si>
  <si>
    <t>Productivity Metrics</t>
  </si>
  <si>
    <t>Revenue</t>
  </si>
  <si>
    <t>Leakage</t>
  </si>
  <si>
    <t>Planned ON</t>
  </si>
  <si>
    <t>Actual ON</t>
  </si>
  <si>
    <t>Planned OFF</t>
  </si>
  <si>
    <t>Actual OFF</t>
  </si>
  <si>
    <t>Billable Days of the Month</t>
  </si>
  <si>
    <t>Revenue Leakage</t>
  </si>
  <si>
    <t>Test Economics Metrics</t>
  </si>
  <si>
    <t>Effort Variance %</t>
  </si>
  <si>
    <t>Values</t>
  </si>
  <si>
    <t>Increase in effort</t>
  </si>
  <si>
    <t>Variance Value %</t>
  </si>
  <si>
    <t>Project Status</t>
  </si>
  <si>
    <t>`</t>
  </si>
  <si>
    <t>Ajith Kumar Gani</t>
  </si>
  <si>
    <t>ajithk@maveric-systems.com</t>
  </si>
  <si>
    <t>Assigned</t>
  </si>
  <si>
    <t>Jupiter - Talent Pool</t>
  </si>
  <si>
    <t>Chetan Anand Ranga Raghukumar</t>
  </si>
  <si>
    <t>Jupiter - Talent Pool A - QA</t>
  </si>
  <si>
    <t>No Data</t>
  </si>
  <si>
    <t>Aravind Sagar Sellapandian</t>
  </si>
  <si>
    <t>aravindsp@maveric-systems.com</t>
  </si>
  <si>
    <t>Senior Test Engineer</t>
  </si>
  <si>
    <t>Arab Banking Corp Bahrain</t>
  </si>
  <si>
    <t>Clement Pancras</t>
  </si>
  <si>
    <t>Neo Bank Implementation - QA</t>
  </si>
  <si>
    <t>Manama</t>
  </si>
  <si>
    <t>2020-03-31</t>
  </si>
  <si>
    <t>Female</t>
  </si>
  <si>
    <t>ashlinjc@maveric-systems.com</t>
  </si>
  <si>
    <t>Infiniti Talent Pool</t>
  </si>
  <si>
    <t>Vinod Kumar Makani</t>
  </si>
  <si>
    <t>Bhargavi Annemmagari</t>
  </si>
  <si>
    <t>bhargavia@maveric-systems.com</t>
  </si>
  <si>
    <t>RBS Business Services Private Limited</t>
  </si>
  <si>
    <t>Rathipriya S</t>
  </si>
  <si>
    <t>Testing Services  QA</t>
  </si>
  <si>
    <t>Chennai (Client)</t>
  </si>
  <si>
    <t>2020-05-15</t>
  </si>
  <si>
    <t>Brindha Devi Manoharan</t>
  </si>
  <si>
    <t>brindhadevim@maveric-systems.com</t>
  </si>
  <si>
    <t>Test Associate</t>
  </si>
  <si>
    <t>Jerry Ruban Titus</t>
  </si>
  <si>
    <t>Finacle Core Upgrade</t>
  </si>
  <si>
    <t>2020-11-30</t>
  </si>
  <si>
    <t>Girija Das</t>
  </si>
  <si>
    <t>girijad@maveric-systems.com</t>
  </si>
  <si>
    <t>Senior Software Engineer</t>
  </si>
  <si>
    <t>Dinesh Rajasekar</t>
  </si>
  <si>
    <t>dineshr@maveric-systems.com</t>
  </si>
  <si>
    <t>Kuwait Telecom Company - Viva</t>
  </si>
  <si>
    <t>Ashamol Pillai</t>
  </si>
  <si>
    <t>CBS Upgrade &amp; Nokia Provisioning Transformation</t>
  </si>
  <si>
    <t>2019-12-31</t>
  </si>
  <si>
    <t>Himagiri Babu Thangellapalli</t>
  </si>
  <si>
    <t>himagiribt@maveric-systems.com</t>
  </si>
  <si>
    <t>Jovita Fernando Nolasco Fernando</t>
  </si>
  <si>
    <t>jovitafernandon@maveric-systems.com</t>
  </si>
  <si>
    <t>Training and Fresher Batch</t>
  </si>
  <si>
    <t>2020-11-18</t>
  </si>
  <si>
    <t>Karthi Ravichandran</t>
  </si>
  <si>
    <t>Karthir@maveric-systems.com</t>
  </si>
  <si>
    <t>Test Engineer</t>
  </si>
  <si>
    <t>2020-10-23</t>
  </si>
  <si>
    <t>Kishore Babu Musuvathy Dhanasekaran</t>
  </si>
  <si>
    <t>kishorebabum@maveric-systems.com</t>
  </si>
  <si>
    <t>GULF INTERNATIONAL BANK B.S.C</t>
  </si>
  <si>
    <t>Balaji Guru Venkatachalam</t>
  </si>
  <si>
    <t>GIB - Bahrain</t>
  </si>
  <si>
    <t>2020-02-28</t>
  </si>
  <si>
    <t>Krishna Priya Mare</t>
  </si>
  <si>
    <t>krishnapriyam@maveric-systems.com</t>
  </si>
  <si>
    <t>Mahalakshmi Ulaganathan</t>
  </si>
  <si>
    <t>mahalakshmiu@maveric-systems.com</t>
  </si>
  <si>
    <t>2021-01-01</t>
  </si>
  <si>
    <t>Maheswari Chandrasekaran</t>
  </si>
  <si>
    <t>maheswaric@maveric-systems.com</t>
  </si>
  <si>
    <t>Manigandan Govindarajulu</t>
  </si>
  <si>
    <t>manigandang@maveric-systems.com</t>
  </si>
  <si>
    <t>Mareeswaran Balaji</t>
  </si>
  <si>
    <t>mareeswaranb@maveric-systems.com</t>
  </si>
  <si>
    <t>Associate Test Lead</t>
  </si>
  <si>
    <t>Nikhil Donthula</t>
  </si>
  <si>
    <t>nikhildo@maveric-systems.com</t>
  </si>
  <si>
    <t>Qatar National Bank</t>
  </si>
  <si>
    <t>Moses Ravikumar Mindi</t>
  </si>
  <si>
    <t>Test Automation FTA Phase II</t>
  </si>
  <si>
    <t>Doha</t>
  </si>
  <si>
    <t>2020-01-17</t>
  </si>
  <si>
    <t>Poovitha Velusamy</t>
  </si>
  <si>
    <t>poovithav@maveric-systems.com</t>
  </si>
  <si>
    <t>SBI General Insurance Company Limited</t>
  </si>
  <si>
    <t>E BAO UAT</t>
  </si>
  <si>
    <t>Mumbai (Client)</t>
  </si>
  <si>
    <t>2021-03-13</t>
  </si>
  <si>
    <t>Roobini Kandan</t>
  </si>
  <si>
    <t>roobinik@maveric-systems.com</t>
  </si>
  <si>
    <t>morFIN</t>
  </si>
  <si>
    <t>Metro Bank PLC</t>
  </si>
  <si>
    <t>Rajesh Ramachandran Nair</t>
  </si>
  <si>
    <t>NFT - QA</t>
  </si>
  <si>
    <t>2020-05-31</t>
  </si>
  <si>
    <t>Sankar Ganesh Ganesan</t>
  </si>
  <si>
    <t>sankarganeshg@maveric-systems.com</t>
  </si>
  <si>
    <t>Saudi British Bank</t>
  </si>
  <si>
    <t>Karthic Muthalagan</t>
  </si>
  <si>
    <t>Saudi British Bank-Staffing - QA</t>
  </si>
  <si>
    <t>Riyadh</t>
  </si>
  <si>
    <t>Syed Abrar Ahmed Ziayur Rahaman</t>
  </si>
  <si>
    <t>syeda@maveric-systems.com</t>
  </si>
  <si>
    <t>Vignesh Thoppan Nannasam</t>
  </si>
  <si>
    <t>vignesht@maveric-systems.com</t>
  </si>
  <si>
    <t>Vodafone Qatar</t>
  </si>
  <si>
    <t>Narasimha Kasyap</t>
  </si>
  <si>
    <t>Vodafone Qatar Development - QA</t>
  </si>
  <si>
    <t>Vimal Raj Viswaraj</t>
  </si>
  <si>
    <t>vimalrajv@maveric-systems.com</t>
  </si>
  <si>
    <t>Vinod Jackson Chandar</t>
  </si>
  <si>
    <t>vinodjacksonc@maveric-systems.com</t>
  </si>
  <si>
    <t>Vivek Vijayakumar</t>
  </si>
  <si>
    <t>vivekv@maveric-systems.com</t>
  </si>
  <si>
    <t>Test Lead</t>
  </si>
  <si>
    <t>Basheer Asaraf</t>
  </si>
  <si>
    <t>basheera@maveric-systems.com</t>
  </si>
  <si>
    <t>Samba BAU- (Wareef United Company )</t>
  </si>
  <si>
    <t>Sureshbabu Dhanasekaran</t>
  </si>
  <si>
    <t>Gowtham Gunashekar</t>
  </si>
  <si>
    <t>gowthamgs@maveric-systems.com</t>
  </si>
  <si>
    <t>2020-01-30</t>
  </si>
  <si>
    <t>Guru Prakash Kumar</t>
  </si>
  <si>
    <t>guruprakashk@maveric-systems.com</t>
  </si>
  <si>
    <t>Nizam Mohamed Haroon Nizam Abdul Nageeb</t>
  </si>
  <si>
    <t>nizamm@maveric-systems.com</t>
  </si>
  <si>
    <t>Sriram Swaminathan</t>
  </si>
  <si>
    <t>sriramsn@maveric-systems.com</t>
  </si>
  <si>
    <t>Arab National Bank</t>
  </si>
  <si>
    <t>Vinoth Chinnapillai</t>
  </si>
  <si>
    <t>Mubasher Performance Testing</t>
  </si>
  <si>
    <t>2019-12-13</t>
  </si>
  <si>
    <t>IB2MB4-ExaData</t>
  </si>
  <si>
    <t>IB2MB4 - Exadata</t>
  </si>
  <si>
    <t>IB2MB4 - Phase II Sprint 1</t>
  </si>
  <si>
    <t>Planning &amp; Project Management Metrics</t>
  </si>
  <si>
    <t>Schedule Variance</t>
  </si>
  <si>
    <t>Effort Variance</t>
  </si>
  <si>
    <t>Variance Value</t>
  </si>
  <si>
    <t>Variance %</t>
  </si>
  <si>
    <t>Test Results circulation (Test Execution were carried out by BM IT)</t>
  </si>
  <si>
    <t>Year 2020</t>
  </si>
  <si>
    <t>Omniflow to iBPS upgrade</t>
  </si>
  <si>
    <t>Retail, RLOS and Corporate - iBPS</t>
  </si>
  <si>
    <t>IB2MB4-CEPS</t>
  </si>
  <si>
    <t>19-20-2020</t>
  </si>
  <si>
    <t>IB2MB4 - CEPS</t>
  </si>
  <si>
    <t>Total Design Effort (in hours)</t>
  </si>
  <si>
    <t>Total Execution Effort (in hours)</t>
  </si>
  <si>
    <t>01-11-2020</t>
  </si>
  <si>
    <t>IB2MB4-CEPS_MFP8</t>
  </si>
  <si>
    <t>Vinod Jackson</t>
  </si>
  <si>
    <t>BAU PO Cost1</t>
  </si>
  <si>
    <t>BAU PO Cost2</t>
  </si>
  <si>
    <t>Total BAU PO Cost</t>
  </si>
  <si>
    <t>Cost Utilized - BAU</t>
  </si>
  <si>
    <t>Total BAU Cost utilized</t>
  </si>
  <si>
    <t>Remaining BAU PO Cost</t>
  </si>
  <si>
    <t xml:space="preserve"> PO Cost1</t>
  </si>
  <si>
    <t xml:space="preserve"> PO Cost2</t>
  </si>
  <si>
    <t>Performance BAU</t>
  </si>
  <si>
    <t>Omniflow to iBPS</t>
  </si>
  <si>
    <t>Charges of Offshore Senior Performance Tester for 3 months for Omniflow to iBPSProject</t>
  </si>
  <si>
    <t>3 months for Omniflow to iBPS</t>
  </si>
  <si>
    <t>PT  Resource for 6 Months (Mar-Aug)</t>
  </si>
  <si>
    <t>Omniflow to iBPS Project</t>
  </si>
  <si>
    <t>Mareeswaran B</t>
  </si>
  <si>
    <t>Available</t>
  </si>
  <si>
    <t>Out of Maveric</t>
  </si>
  <si>
    <t>Vimal Raj</t>
  </si>
  <si>
    <t>vimal@maveric-systems.com</t>
  </si>
  <si>
    <t>YES</t>
  </si>
  <si>
    <t>Emp. Status</t>
  </si>
  <si>
    <t>Active</t>
  </si>
  <si>
    <t>In-Active</t>
  </si>
  <si>
    <t>Feb</t>
  </si>
  <si>
    <t>Corporate LOS - CAD Workflow 1</t>
  </si>
  <si>
    <t>PAM - Phase 2</t>
  </si>
  <si>
    <t>Vimal</t>
  </si>
  <si>
    <t>AML</t>
  </si>
  <si>
    <t>ECC - DB Upgrade</t>
  </si>
  <si>
    <t>Electronic Cheque Clearing</t>
  </si>
  <si>
    <t>(Multiple Items)</t>
  </si>
  <si>
    <t>ECC</t>
  </si>
  <si>
    <t>IB2MB4 - Phase II - Sprint 2</t>
  </si>
  <si>
    <t>Total PO Cost</t>
  </si>
  <si>
    <t>PO. NO: 515540</t>
  </si>
  <si>
    <t xml:space="preserve">PO. NO: </t>
  </si>
  <si>
    <t>PO. NO: 517613</t>
  </si>
  <si>
    <t>ER NOC CLC</t>
  </si>
  <si>
    <t>NOC and CLC Certificate - iBPS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</si>
</sst>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[$$-409]* #,##0_ ;_-[$$-409]* \-#,##0\ ;_-[$$-409]* &quot;-&quot;??_ ;_-@_ "/>
    <numFmt numFmtId="167" formatCode="_-[$$-409]* #,##0.00_ ;_-[$$-409]* \-#,##0.00\ ;_-[$$-409]* &quot;-&quot;??_ ;_-@_ "/>
    <numFmt numFmtId="168" formatCode="0.0"/>
  </numFmts>
  <fonts count="6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sz val="11"/>
      <color rgb="FF404040"/>
      <name val="Corbel"/>
      <family val="2"/>
    </font>
    <font>
      <i/>
      <sz val="11"/>
      <color rgb="FF735773"/>
      <name val="Calibri"/>
      <family val="2"/>
    </font>
    <font>
      <b/>
      <sz val="11"/>
      <color rgb="FF404040"/>
      <name val="Calibri"/>
      <family val="2"/>
    </font>
    <font>
      <b/>
      <sz val="11"/>
      <color rgb="FFFFFFFF"/>
      <name val="Calibri"/>
      <family val="2"/>
    </font>
    <font>
      <sz val="12"/>
      <color rgb="FF404040"/>
      <name val="Calibri"/>
      <family val="2"/>
    </font>
    <font>
      <b/>
      <sz val="10"/>
      <color rgb="FF595959"/>
      <name val="Calibri"/>
      <family val="2"/>
    </font>
    <font>
      <b/>
      <sz val="13"/>
      <color rgb="FF404040"/>
      <name val="Corbel"/>
      <family val="2"/>
    </font>
    <font>
      <sz val="10"/>
      <color rgb="FF404040"/>
      <name val="Corbel"/>
      <family val="2"/>
    </font>
    <font>
      <b/>
      <sz val="10"/>
      <color rgb="FF735773"/>
      <name val="Corbel"/>
      <family val="2"/>
    </font>
    <font>
      <sz val="10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rgb="FFFF0000"/>
      <name val="Corbel"/>
      <family val="2"/>
    </font>
    <font>
      <b/>
      <sz val="10"/>
      <color theme="4" tint="-0.499984740745262"/>
      <name val="Calibri"/>
      <family val="2"/>
    </font>
    <font>
      <b/>
      <sz val="11"/>
      <color theme="1"/>
      <name val="Calibri"/>
      <family val="2"/>
    </font>
    <font>
      <b/>
      <sz val="10"/>
      <color rgb="FF002060"/>
      <name val="Calibri"/>
      <family val="2"/>
    </font>
    <font>
      <b/>
      <sz val="12"/>
      <color rgb="FF002060"/>
      <name val="Calibri"/>
      <family val="2"/>
    </font>
    <font>
      <b/>
      <sz val="14"/>
      <color rgb="FFFFFFFF"/>
      <name val="Calibri"/>
      <family val="2"/>
    </font>
    <font>
      <b/>
      <sz val="12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1"/>
      <color rgb="FF00B05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rgb="FFFF0000"/>
      <name val="Corbel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20376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rgb="FF17618F"/>
        <bgColor rgb="FF000000"/>
      </patternFill>
    </fill>
    <fill>
      <patternFill patternType="lightUp">
        <fgColor rgb="FF735773"/>
        <bgColor rgb="FFFFFFFF"/>
      </patternFill>
    </fill>
    <fill>
      <patternFill patternType="lightUp">
        <fgColor rgb="FF735773"/>
        <bgColor rgb="FFCAB9CA"/>
      </patternFill>
    </fill>
    <fill>
      <patternFill patternType="solid">
        <fgColor rgb="FF735773"/>
        <bgColor auto="1"/>
      </patternFill>
    </fill>
    <fill>
      <patternFill patternType="lightUp">
        <fgColor rgb="FF735773"/>
        <bgColor rgb="FFF7DEB9"/>
      </patternFill>
    </fill>
    <fill>
      <patternFill patternType="solid">
        <fgColor rgb="FFE9AB51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rgb="FF2F75B5"/>
      </left>
      <right style="thin">
        <color rgb="FF2F75B5"/>
      </right>
      <top style="thin">
        <color rgb="FF2F75B5"/>
      </top>
      <bottom style="thin">
        <color rgb="FF2F75B5"/>
      </bottom>
      <diagonal/>
    </border>
    <border>
      <left style="thin">
        <color rgb="FF2F75B5"/>
      </left>
      <right style="thin">
        <color rgb="FF2F75B5"/>
      </right>
      <top/>
      <bottom style="thin">
        <color rgb="FF2F75B5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rgb="FF60A6AC"/>
      </left>
      <right style="thin">
        <color rgb="FF60A6AC"/>
      </right>
      <top style="thin">
        <color rgb="FF60A6AC"/>
      </top>
      <bottom style="thin">
        <color rgb="FF60A6AC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/>
      <bottom/>
      <diagonal/>
    </border>
    <border>
      <left/>
      <right/>
      <top/>
      <bottom style="thin">
        <color rgb="FF735773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  <xf numFmtId="0" fontId="22" fillId="0" borderId="19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Protection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Protection="0">
      <alignment horizontal="center" vertical="center"/>
    </xf>
    <xf numFmtId="0" fontId="27" fillId="0" borderId="0" applyNumberFormat="0" applyFill="0" applyBorder="0" applyProtection="0">
      <alignment vertical="center"/>
    </xf>
    <xf numFmtId="0" fontId="28" fillId="20" borderId="21" applyNumberFormat="0" applyProtection="0">
      <alignment horizontal="left" vertical="center"/>
    </xf>
    <xf numFmtId="1" fontId="29" fillId="20" borderId="21">
      <alignment horizontal="center" vertical="center"/>
    </xf>
    <xf numFmtId="0" fontId="26" fillId="21" borderId="22" applyNumberFormat="0" applyFont="0" applyAlignment="0">
      <alignment horizontal="center"/>
    </xf>
    <xf numFmtId="0" fontId="30" fillId="0" borderId="0" applyNumberFormat="0" applyFill="0" applyBorder="0" applyProtection="0">
      <alignment horizontal="left" vertical="center"/>
    </xf>
    <xf numFmtId="0" fontId="26" fillId="22" borderId="23" applyNumberFormat="0" applyFont="0" applyAlignment="0">
      <alignment horizontal="center"/>
    </xf>
    <xf numFmtId="0" fontId="26" fillId="23" borderId="23" applyNumberFormat="0" applyFont="0" applyAlignment="0">
      <alignment horizontal="center"/>
    </xf>
    <xf numFmtId="0" fontId="26" fillId="24" borderId="23" applyNumberFormat="0" applyFont="0" applyAlignment="0">
      <alignment horizontal="center"/>
    </xf>
    <xf numFmtId="0" fontId="26" fillId="25" borderId="23" applyNumberFormat="0" applyFont="0" applyAlignment="0">
      <alignment horizontal="center"/>
    </xf>
    <xf numFmtId="0" fontId="31" fillId="0" borderId="0" applyFill="0" applyProtection="0">
      <alignment vertical="center"/>
    </xf>
    <xf numFmtId="0" fontId="31" fillId="0" borderId="0" applyFill="0" applyProtection="0">
      <alignment horizontal="center" vertical="center" wrapText="1"/>
    </xf>
    <xf numFmtId="0" fontId="31" fillId="0" borderId="0" applyFill="0" applyProtection="0">
      <alignment horizontal="left"/>
    </xf>
    <xf numFmtId="3" fontId="31" fillId="0" borderId="24" applyFill="0" applyProtection="0">
      <alignment horizontal="center"/>
    </xf>
    <xf numFmtId="9" fontId="32" fillId="0" borderId="0" applyFill="0" applyBorder="0" applyProtection="0">
      <alignment horizontal="center" vertical="center"/>
    </xf>
    <xf numFmtId="0" fontId="33" fillId="0" borderId="0" applyFill="0" applyBorder="0" applyProtection="0">
      <alignment horizontal="left" wrapText="1"/>
    </xf>
    <xf numFmtId="0" fontId="26" fillId="0" borderId="0" applyNumberFormat="0" applyFill="0" applyBorder="0" applyProtection="0">
      <alignment vertical="center"/>
    </xf>
    <xf numFmtId="0" fontId="31" fillId="0" borderId="0" applyFill="0" applyBorder="0" applyProtection="0">
      <alignment horizontal="center" wrapText="1"/>
    </xf>
  </cellStyleXfs>
  <cellXfs count="283">
    <xf numFmtId="0" fontId="0" fillId="0" borderId="0" xfId="0"/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9" fontId="9" fillId="0" borderId="0" xfId="3" applyFont="1" applyFill="1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166" fontId="8" fillId="0" borderId="0" xfId="0" applyNumberFormat="1" applyFont="1" applyFill="1" applyBorder="1" applyAlignment="1">
      <alignment horizontal="center" vertical="center"/>
    </xf>
    <xf numFmtId="166" fontId="9" fillId="0" borderId="0" xfId="3" applyNumberFormat="1" applyFont="1" applyFill="1" applyBorder="1" applyAlignment="1">
      <alignment horizontal="center" vertical="center"/>
    </xf>
    <xf numFmtId="9" fontId="8" fillId="0" borderId="0" xfId="1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165" fontId="5" fillId="0" borderId="1" xfId="4" applyNumberFormat="1" applyFont="1" applyBorder="1" applyAlignment="1">
      <alignment horizontal="center" vertical="center"/>
    </xf>
    <xf numFmtId="165" fontId="5" fillId="0" borderId="1" xfId="4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65" fontId="5" fillId="8" borderId="1" xfId="4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4" fillId="7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65" fontId="0" fillId="0" borderId="8" xfId="4" applyNumberFormat="1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9" fontId="10" fillId="0" borderId="8" xfId="3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65" fontId="0" fillId="8" borderId="8" xfId="4" applyNumberFormat="1" applyFont="1" applyFill="1" applyBorder="1" applyAlignment="1">
      <alignment horizontal="center" vertical="center"/>
    </xf>
    <xf numFmtId="9" fontId="0" fillId="8" borderId="8" xfId="3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vertical="center"/>
    </xf>
    <xf numFmtId="0" fontId="4" fillId="9" borderId="8" xfId="0" applyFont="1" applyFill="1" applyBorder="1" applyAlignment="1">
      <alignment horizontal="center" vertical="center"/>
    </xf>
    <xf numFmtId="15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9" fontId="0" fillId="0" borderId="8" xfId="3" applyNumberFormat="1" applyFont="1" applyFill="1" applyBorder="1" applyAlignment="1">
      <alignment horizontal="center" vertical="center"/>
    </xf>
    <xf numFmtId="165" fontId="0" fillId="0" borderId="8" xfId="4" applyNumberFormat="1" applyFont="1" applyFill="1" applyBorder="1" applyAlignment="1">
      <alignment horizontal="center" vertical="center"/>
    </xf>
    <xf numFmtId="15" fontId="0" fillId="0" borderId="8" xfId="0" applyNumberForma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vertical="center"/>
    </xf>
    <xf numFmtId="0" fontId="3" fillId="6" borderId="9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3" fillId="6" borderId="10" xfId="0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0" fillId="0" borderId="10" xfId="0" applyFont="1" applyBorder="1" applyAlignment="1">
      <alignment horizontal="left" vertical="center"/>
    </xf>
    <xf numFmtId="0" fontId="0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vertical="center"/>
    </xf>
    <xf numFmtId="0" fontId="4" fillId="7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1" fontId="0" fillId="0" borderId="10" xfId="0" applyNumberFormat="1" applyFont="1" applyFill="1" applyBorder="1" applyAlignment="1">
      <alignment horizontal="center" vertical="center"/>
    </xf>
    <xf numFmtId="165" fontId="0" fillId="0" borderId="10" xfId="4" applyNumberFormat="1" applyFont="1" applyBorder="1" applyAlignment="1">
      <alignment horizontal="center" vertical="center"/>
    </xf>
    <xf numFmtId="9" fontId="10" fillId="0" borderId="10" xfId="3" applyNumberFormat="1" applyFont="1" applyFill="1" applyBorder="1" applyAlignment="1">
      <alignment horizontal="center" vertical="center"/>
    </xf>
    <xf numFmtId="0" fontId="0" fillId="8" borderId="10" xfId="0" applyFont="1" applyFill="1" applyBorder="1" applyAlignment="1">
      <alignment horizontal="center" vertical="center"/>
    </xf>
    <xf numFmtId="165" fontId="0" fillId="8" borderId="10" xfId="4" applyNumberFormat="1" applyFont="1" applyFill="1" applyBorder="1" applyAlignment="1">
      <alignment horizontal="center" vertical="center"/>
    </xf>
    <xf numFmtId="9" fontId="0" fillId="8" borderId="10" xfId="3" applyNumberFormat="1" applyFont="1" applyFill="1" applyBorder="1" applyAlignment="1">
      <alignment horizontal="center" vertical="center"/>
    </xf>
    <xf numFmtId="0" fontId="0" fillId="8" borderId="10" xfId="0" applyFont="1" applyFill="1" applyBorder="1" applyAlignment="1">
      <alignment vertical="center"/>
    </xf>
    <xf numFmtId="0" fontId="4" fillId="9" borderId="10" xfId="0" applyFont="1" applyFill="1" applyBorder="1" applyAlignment="1">
      <alignment horizontal="center" vertical="center"/>
    </xf>
    <xf numFmtId="15" fontId="0" fillId="0" borderId="10" xfId="0" applyNumberFormat="1" applyFont="1" applyBorder="1" applyAlignment="1">
      <alignment horizontal="center" vertical="center"/>
    </xf>
    <xf numFmtId="1" fontId="0" fillId="0" borderId="10" xfId="0" applyNumberFormat="1" applyFont="1" applyBorder="1" applyAlignment="1">
      <alignment horizontal="center" vertical="center"/>
    </xf>
    <xf numFmtId="9" fontId="0" fillId="0" borderId="10" xfId="3" applyNumberFormat="1" applyFont="1" applyFill="1" applyBorder="1" applyAlignment="1">
      <alignment horizontal="center" vertical="center"/>
    </xf>
    <xf numFmtId="165" fontId="0" fillId="0" borderId="10" xfId="4" applyNumberFormat="1" applyFont="1" applyFill="1" applyBorder="1" applyAlignment="1">
      <alignment horizontal="center" vertical="center"/>
    </xf>
    <xf numFmtId="15" fontId="0" fillId="0" borderId="10" xfId="0" applyNumberFormat="1" applyFont="1" applyFill="1" applyBorder="1" applyAlignment="1">
      <alignment horizontal="center" vertical="center"/>
    </xf>
    <xf numFmtId="0" fontId="0" fillId="0" borderId="0" xfId="0" applyFont="1"/>
    <xf numFmtId="0" fontId="4" fillId="5" borderId="10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8" fillId="0" borderId="10" xfId="0" applyFont="1" applyBorder="1" applyAlignment="1">
      <alignment vertical="center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left" vertical="center" wrapText="1"/>
    </xf>
    <xf numFmtId="0" fontId="8" fillId="13" borderId="10" xfId="1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center" vertical="center" wrapText="1"/>
    </xf>
    <xf numFmtId="0" fontId="8" fillId="12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15" fontId="8" fillId="0" borderId="10" xfId="2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vertical="center" wrapText="1"/>
    </xf>
    <xf numFmtId="15" fontId="8" fillId="0" borderId="10" xfId="0" applyNumberFormat="1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15" fontId="13" fillId="0" borderId="1" xfId="0" applyNumberFormat="1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 wrapText="1"/>
    </xf>
    <xf numFmtId="15" fontId="13" fillId="0" borderId="0" xfId="0" applyNumberFormat="1" applyFont="1" applyBorder="1" applyAlignment="1">
      <alignment horizontal="center" vertical="center" wrapText="1"/>
    </xf>
    <xf numFmtId="0" fontId="1" fillId="0" borderId="0" xfId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4" fillId="5" borderId="10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/>
    </xf>
    <xf numFmtId="0" fontId="14" fillId="16" borderId="13" xfId="0" applyFont="1" applyFill="1" applyBorder="1" applyAlignment="1">
      <alignment vertical="center"/>
    </xf>
    <xf numFmtId="0" fontId="14" fillId="16" borderId="13" xfId="0" applyFont="1" applyFill="1" applyBorder="1" applyAlignment="1">
      <alignment horizontal="center" vertical="center"/>
    </xf>
    <xf numFmtId="49" fontId="14" fillId="16" borderId="13" xfId="0" applyNumberFormat="1" applyFont="1" applyFill="1" applyBorder="1" applyAlignment="1">
      <alignment horizontal="left" vertical="center"/>
    </xf>
    <xf numFmtId="0" fontId="14" fillId="16" borderId="13" xfId="0" applyFont="1" applyFill="1" applyBorder="1" applyAlignment="1">
      <alignment horizontal="left" vertical="center"/>
    </xf>
    <xf numFmtId="0" fontId="14" fillId="16" borderId="14" xfId="0" applyFont="1" applyFill="1" applyBorder="1" applyAlignment="1">
      <alignment horizontal="center" vertical="center"/>
    </xf>
    <xf numFmtId="0" fontId="14" fillId="16" borderId="14" xfId="0" applyFont="1" applyFill="1" applyBorder="1" applyAlignment="1">
      <alignment horizontal="left" vertical="center"/>
    </xf>
    <xf numFmtId="0" fontId="15" fillId="0" borderId="14" xfId="0" applyFont="1" applyFill="1" applyBorder="1"/>
    <xf numFmtId="0" fontId="0" fillId="0" borderId="0" xfId="0" applyAlignment="1">
      <alignment horizontal="center" vertical="center"/>
    </xf>
    <xf numFmtId="0" fontId="16" fillId="18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18" borderId="8" xfId="0" applyFont="1" applyFill="1" applyBorder="1" applyAlignment="1" applyProtection="1">
      <alignment horizontal="center" vertical="center" wrapText="1"/>
      <protection locked="0"/>
    </xf>
    <xf numFmtId="0" fontId="18" fillId="0" borderId="8" xfId="0" applyFont="1" applyBorder="1" applyAlignment="1">
      <alignment horizontal="center" vertical="center"/>
    </xf>
    <xf numFmtId="15" fontId="18" fillId="0" borderId="8" xfId="0" applyNumberFormat="1" applyFont="1" applyBorder="1" applyAlignment="1">
      <alignment horizontal="center" vertical="center"/>
    </xf>
    <xf numFmtId="167" fontId="18" fillId="0" borderId="8" xfId="0" applyNumberFormat="1" applyFont="1" applyBorder="1" applyAlignment="1">
      <alignment horizontal="center" vertical="center"/>
    </xf>
    <xf numFmtId="0" fontId="18" fillId="0" borderId="0" xfId="0" applyFont="1"/>
    <xf numFmtId="0" fontId="0" fillId="0" borderId="0" xfId="0" applyFill="1"/>
    <xf numFmtId="0" fontId="19" fillId="15" borderId="8" xfId="0" applyFont="1" applyFill="1" applyBorder="1" applyAlignment="1" applyProtection="1">
      <alignment horizontal="center" vertical="center" wrapText="1"/>
      <protection locked="0"/>
    </xf>
    <xf numFmtId="167" fontId="17" fillId="0" borderId="0" xfId="0" applyNumberFormat="1" applyFont="1" applyFill="1" applyBorder="1" applyAlignment="1">
      <alignment horizontal="center" vertical="center"/>
    </xf>
    <xf numFmtId="0" fontId="11" fillId="19" borderId="8" xfId="0" applyFont="1" applyFill="1" applyBorder="1" applyAlignment="1">
      <alignment horizontal="center" vertical="center"/>
    </xf>
    <xf numFmtId="167" fontId="11" fillId="19" borderId="8" xfId="0" applyNumberFormat="1" applyFont="1" applyFill="1" applyBorder="1" applyAlignment="1">
      <alignment horizontal="center" vertical="center"/>
    </xf>
    <xf numFmtId="167" fontId="17" fillId="19" borderId="8" xfId="0" applyNumberFormat="1" applyFont="1" applyFill="1" applyBorder="1" applyAlignment="1">
      <alignment horizontal="center" vertical="center"/>
    </xf>
    <xf numFmtId="167" fontId="17" fillId="19" borderId="17" xfId="0" applyNumberFormat="1" applyFont="1" applyFill="1" applyBorder="1" applyAlignment="1">
      <alignment horizontal="center" vertical="center"/>
    </xf>
    <xf numFmtId="0" fontId="16" fillId="18" borderId="8" xfId="0" applyFont="1" applyFill="1" applyBorder="1" applyAlignment="1">
      <alignment horizontal="center" vertical="center"/>
    </xf>
    <xf numFmtId="0" fontId="17" fillId="19" borderId="8" xfId="0" applyFont="1" applyFill="1" applyBorder="1" applyAlignment="1">
      <alignment vertical="center"/>
    </xf>
    <xf numFmtId="0" fontId="16" fillId="18" borderId="8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167" fontId="16" fillId="17" borderId="8" xfId="0" applyNumberFormat="1" applyFont="1" applyFill="1" applyBorder="1" applyAlignment="1">
      <alignment vertical="center"/>
    </xf>
    <xf numFmtId="167" fontId="16" fillId="13" borderId="8" xfId="0" applyNumberFormat="1" applyFont="1" applyFill="1" applyBorder="1" applyAlignment="1">
      <alignment vertical="center"/>
    </xf>
    <xf numFmtId="14" fontId="0" fillId="0" borderId="0" xfId="0" applyNumberFormat="1"/>
    <xf numFmtId="0" fontId="8" fillId="8" borderId="10" xfId="0" applyFont="1" applyFill="1" applyBorder="1" applyAlignment="1">
      <alignment horizontal="center" vertical="center" wrapText="1"/>
    </xf>
    <xf numFmtId="2" fontId="0" fillId="0" borderId="0" xfId="0" applyNumberFormat="1"/>
    <xf numFmtId="0" fontId="8" fillId="15" borderId="10" xfId="2" applyFont="1" applyFill="1" applyBorder="1" applyAlignment="1">
      <alignment horizontal="center" vertical="center" wrapText="1"/>
    </xf>
    <xf numFmtId="0" fontId="15" fillId="0" borderId="14" xfId="0" applyFont="1" applyFill="1" applyBorder="1" applyAlignment="1">
      <alignment horizontal="center"/>
    </xf>
    <xf numFmtId="15" fontId="15" fillId="0" borderId="14" xfId="0" applyNumberFormat="1" applyFont="1" applyFill="1" applyBorder="1" applyAlignment="1">
      <alignment horizontal="center"/>
    </xf>
    <xf numFmtId="167" fontId="17" fillId="8" borderId="8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7" fontId="18" fillId="0" borderId="0" xfId="0" applyNumberFormat="1" applyFont="1"/>
    <xf numFmtId="9" fontId="16" fillId="13" borderId="8" xfId="3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" fontId="0" fillId="0" borderId="0" xfId="0" applyNumberFormat="1"/>
    <xf numFmtId="10" fontId="0" fillId="0" borderId="0" xfId="3" applyNumberFormat="1" applyFont="1" applyFill="1"/>
    <xf numFmtId="0" fontId="0" fillId="0" borderId="0" xfId="0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5" fillId="0" borderId="0" xfId="9" applyFont="1" applyFill="1" applyBorder="1" applyAlignment="1">
      <alignment vertical="center"/>
    </xf>
    <xf numFmtId="0" fontId="34" fillId="27" borderId="26" xfId="16" applyFont="1" applyFill="1" applyBorder="1" applyAlignment="1">
      <alignment horizontal="center"/>
    </xf>
    <xf numFmtId="0" fontId="34" fillId="28" borderId="28" xfId="18" applyFont="1" applyFill="1" applyBorder="1" applyAlignment="1">
      <alignment horizontal="center"/>
    </xf>
    <xf numFmtId="0" fontId="38" fillId="0" borderId="27" xfId="17" applyFont="1" applyFill="1" applyBorder="1" applyAlignment="1">
      <alignment vertical="center"/>
    </xf>
    <xf numFmtId="0" fontId="38" fillId="0" borderId="0" xfId="17" applyFont="1" applyFill="1" applyBorder="1" applyAlignment="1">
      <alignment vertical="center"/>
    </xf>
    <xf numFmtId="0" fontId="34" fillId="29" borderId="28" xfId="19" applyFont="1" applyFill="1" applyBorder="1" applyAlignment="1">
      <alignment horizontal="center"/>
    </xf>
    <xf numFmtId="0" fontId="34" fillId="0" borderId="27" xfId="17" applyFont="1" applyFill="1" applyBorder="1" applyAlignment="1">
      <alignment vertical="center"/>
    </xf>
    <xf numFmtId="0" fontId="34" fillId="0" borderId="29" xfId="17" applyFont="1" applyFill="1" applyBorder="1" applyAlignment="1">
      <alignment vertical="center"/>
    </xf>
    <xf numFmtId="0" fontId="34" fillId="30" borderId="28" xfId="20" applyFont="1" applyFill="1" applyBorder="1" applyAlignment="1">
      <alignment horizontal="center"/>
    </xf>
    <xf numFmtId="0" fontId="34" fillId="0" borderId="0" xfId="17" applyFont="1" applyFill="1" applyBorder="1" applyAlignment="1">
      <alignment vertical="center"/>
    </xf>
    <xf numFmtId="0" fontId="34" fillId="31" borderId="28" xfId="21" applyFont="1" applyFill="1" applyBorder="1" applyAlignment="1">
      <alignment horizontal="center"/>
    </xf>
    <xf numFmtId="0" fontId="36" fillId="0" borderId="0" xfId="14" applyFont="1" applyFill="1" applyBorder="1">
      <alignment horizontal="left" vertical="center"/>
    </xf>
    <xf numFmtId="16" fontId="39" fillId="0" borderId="0" xfId="8" applyNumberFormat="1" applyFont="1" applyFill="1" applyBorder="1" applyAlignment="1">
      <alignment horizontal="left"/>
    </xf>
    <xf numFmtId="0" fontId="34" fillId="0" borderId="0" xfId="0" applyFont="1" applyFill="1" applyBorder="1" applyAlignment="1">
      <alignment vertical="center" wrapText="1"/>
    </xf>
    <xf numFmtId="3" fontId="39" fillId="0" borderId="30" xfId="25" applyFont="1" applyFill="1" applyBorder="1">
      <alignment horizontal="center"/>
    </xf>
    <xf numFmtId="0" fontId="41" fillId="0" borderId="0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" vertical="center"/>
    </xf>
    <xf numFmtId="0" fontId="40" fillId="0" borderId="0" xfId="27" applyFont="1" applyFill="1" applyBorder="1">
      <alignment horizontal="left" wrapText="1"/>
    </xf>
    <xf numFmtId="9" fontId="42" fillId="0" borderId="0" xfId="26" applyFont="1" applyFill="1" applyBorder="1">
      <alignment horizontal="center" vertical="center"/>
    </xf>
    <xf numFmtId="0" fontId="37" fillId="26" borderId="0" xfId="14" applyFont="1" applyFill="1" applyBorder="1" applyAlignment="1">
      <alignment vertical="center"/>
    </xf>
    <xf numFmtId="0" fontId="44" fillId="5" borderId="10" xfId="0" applyFont="1" applyFill="1" applyBorder="1" applyAlignment="1">
      <alignment horizontal="center" vertical="center" wrapText="1"/>
    </xf>
    <xf numFmtId="0" fontId="44" fillId="5" borderId="10" xfId="0" applyFont="1" applyFill="1" applyBorder="1" applyAlignment="1">
      <alignment vertical="center" wrapText="1"/>
    </xf>
    <xf numFmtId="0" fontId="45" fillId="0" borderId="0" xfId="0" applyFont="1"/>
    <xf numFmtId="0" fontId="46" fillId="4" borderId="1" xfId="0" applyFont="1" applyFill="1" applyBorder="1" applyAlignment="1">
      <alignment horizontal="center" vertical="center" wrapText="1"/>
    </xf>
    <xf numFmtId="0" fontId="47" fillId="0" borderId="0" xfId="0" applyFont="1"/>
    <xf numFmtId="0" fontId="24" fillId="0" borderId="0" xfId="0" applyFont="1"/>
    <xf numFmtId="0" fontId="24" fillId="34" borderId="31" xfId="0" applyFont="1" applyFill="1" applyBorder="1" applyAlignment="1">
      <alignment horizontal="center" vertical="center"/>
    </xf>
    <xf numFmtId="0" fontId="0" fillId="0" borderId="31" xfId="0" applyBorder="1" applyAlignment="1">
      <alignment horizontal="left" vertical="center"/>
    </xf>
    <xf numFmtId="0" fontId="0" fillId="0" borderId="31" xfId="0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24" fillId="0" borderId="0" xfId="0" pivotButton="1" applyFont="1"/>
    <xf numFmtId="0" fontId="0" fillId="0" borderId="0" xfId="0" applyNumberFormat="1" applyAlignment="1">
      <alignment horizontal="center" vertical="center"/>
    </xf>
    <xf numFmtId="3" fontId="50" fillId="32" borderId="31" xfId="25" applyFont="1" applyFill="1" applyBorder="1" applyAlignment="1">
      <alignment horizontal="left" vertical="center"/>
    </xf>
    <xf numFmtId="0" fontId="15" fillId="0" borderId="31" xfId="27" applyFont="1" applyFill="1" applyBorder="1" applyAlignment="1">
      <alignment horizontal="left"/>
    </xf>
    <xf numFmtId="0" fontId="15" fillId="0" borderId="31" xfId="27" applyFont="1" applyFill="1" applyBorder="1" applyAlignment="1">
      <alignment horizontal="left" indent="3"/>
    </xf>
    <xf numFmtId="0" fontId="15" fillId="33" borderId="31" xfId="27" applyFont="1" applyFill="1" applyBorder="1" applyAlignment="1">
      <alignment horizontal="left"/>
    </xf>
    <xf numFmtId="9" fontId="51" fillId="0" borderId="31" xfId="26" applyFont="1" applyFill="1" applyBorder="1">
      <alignment horizontal="center" vertical="center"/>
    </xf>
    <xf numFmtId="0" fontId="53" fillId="26" borderId="0" xfId="14" applyFont="1" applyFill="1" applyBorder="1" applyAlignment="1">
      <alignment vertical="center"/>
    </xf>
    <xf numFmtId="1" fontId="52" fillId="19" borderId="25" xfId="15" applyFont="1" applyFill="1" applyBorder="1">
      <alignment horizontal="center" vertical="center"/>
    </xf>
    <xf numFmtId="0" fontId="8" fillId="9" borderId="10" xfId="1" applyFont="1" applyFill="1" applyBorder="1" applyAlignment="1">
      <alignment horizontal="center" vertical="center" wrapText="1"/>
    </xf>
    <xf numFmtId="167" fontId="0" fillId="0" borderId="0" xfId="0" applyNumberFormat="1"/>
    <xf numFmtId="0" fontId="56" fillId="13" borderId="10" xfId="1" applyFont="1" applyFill="1" applyBorder="1" applyAlignment="1">
      <alignment horizontal="center" vertical="center" wrapText="1"/>
    </xf>
    <xf numFmtId="0" fontId="8" fillId="35" borderId="10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8" xfId="0" applyBorder="1"/>
    <xf numFmtId="17" fontId="0" fillId="0" borderId="0" xfId="0" applyNumberFormat="1" applyAlignment="1">
      <alignment horizontal="center"/>
    </xf>
    <xf numFmtId="0" fontId="0" fillId="15" borderId="0" xfId="0" applyFill="1" applyAlignment="1">
      <alignment horizontal="center" vertical="center" wrapText="1"/>
    </xf>
    <xf numFmtId="0" fontId="0" fillId="38" borderId="0" xfId="0" applyFill="1" applyAlignment="1">
      <alignment horizontal="center" vertical="center" wrapText="1"/>
    </xf>
    <xf numFmtId="0" fontId="0" fillId="0" borderId="8" xfId="0" pivotButton="1" applyBorder="1"/>
    <xf numFmtId="0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0" fillId="0" borderId="8" xfId="0" applyBorder="1" applyAlignment="1">
      <alignment horizontal="left"/>
    </xf>
    <xf numFmtId="17" fontId="0" fillId="0" borderId="8" xfId="0" applyNumberFormat="1" applyBorder="1" applyAlignment="1">
      <alignment horizontal="left"/>
    </xf>
    <xf numFmtId="0" fontId="16" fillId="18" borderId="34" xfId="0" applyFont="1" applyFill="1" applyBorder="1" applyAlignment="1" applyProtection="1">
      <alignment horizontal="center" vertical="center" wrapText="1"/>
      <protection locked="0"/>
    </xf>
    <xf numFmtId="167" fontId="0" fillId="0" borderId="8" xfId="0" applyNumberFormat="1" applyBorder="1" applyAlignment="1">
      <alignment horizontal="center" vertical="center"/>
    </xf>
    <xf numFmtId="0" fontId="24" fillId="37" borderId="8" xfId="0" applyFont="1" applyFill="1" applyBorder="1" applyAlignment="1">
      <alignment horizontal="center" vertical="center"/>
    </xf>
    <xf numFmtId="0" fontId="24" fillId="37" borderId="8" xfId="0" applyFont="1" applyFill="1" applyBorder="1"/>
    <xf numFmtId="167" fontId="24" fillId="37" borderId="8" xfId="0" applyNumberFormat="1" applyFont="1" applyFill="1" applyBorder="1"/>
    <xf numFmtId="9" fontId="8" fillId="8" borderId="10" xfId="3" applyFont="1" applyFill="1" applyBorder="1" applyAlignment="1">
      <alignment horizontal="center" vertical="center" wrapText="1"/>
    </xf>
    <xf numFmtId="0" fontId="24" fillId="34" borderId="8" xfId="0" applyFont="1" applyFill="1" applyBorder="1" applyAlignment="1">
      <alignment horizontal="center" vertical="center"/>
    </xf>
    <xf numFmtId="1" fontId="0" fillId="0" borderId="8" xfId="3" applyNumberFormat="1" applyFont="1" applyBorder="1" applyAlignment="1">
      <alignment horizontal="center"/>
    </xf>
    <xf numFmtId="9" fontId="0" fillId="0" borderId="8" xfId="3" applyFont="1" applyBorder="1" applyAlignment="1">
      <alignment horizontal="center"/>
    </xf>
    <xf numFmtId="1" fontId="10" fillId="0" borderId="8" xfId="3" applyNumberFormat="1" applyFont="1" applyBorder="1" applyAlignment="1">
      <alignment horizontal="center"/>
    </xf>
    <xf numFmtId="0" fontId="43" fillId="32" borderId="31" xfId="0" applyFont="1" applyFill="1" applyBorder="1" applyAlignment="1">
      <alignment horizontal="center" vertical="center"/>
    </xf>
    <xf numFmtId="9" fontId="43" fillId="0" borderId="31" xfId="26" applyFont="1" applyFill="1" applyBorder="1" applyAlignment="1">
      <alignment horizontal="center" vertical="center"/>
    </xf>
    <xf numFmtId="0" fontId="43" fillId="0" borderId="31" xfId="0" applyFont="1" applyFill="1" applyBorder="1" applyAlignment="1">
      <alignment horizontal="center" vertical="center"/>
    </xf>
    <xf numFmtId="9" fontId="51" fillId="0" borderId="31" xfId="26" applyFont="1" applyFill="1" applyBorder="1" applyAlignment="1">
      <alignment horizontal="center" vertical="center"/>
    </xf>
    <xf numFmtId="168" fontId="43" fillId="0" borderId="31" xfId="0" applyNumberFormat="1" applyFont="1" applyFill="1" applyBorder="1" applyAlignment="1">
      <alignment horizontal="center" vertical="center"/>
    </xf>
    <xf numFmtId="0" fontId="43" fillId="33" borderId="31" xfId="0" quotePrefix="1" applyFont="1" applyFill="1" applyBorder="1" applyAlignment="1">
      <alignment horizontal="center" vertical="center"/>
    </xf>
    <xf numFmtId="0" fontId="43" fillId="33" borderId="31" xfId="0" applyFont="1" applyFill="1" applyBorder="1" applyAlignment="1">
      <alignment horizontal="center" vertical="center"/>
    </xf>
    <xf numFmtId="0" fontId="43" fillId="0" borderId="31" xfId="0" quotePrefix="1" applyFont="1" applyFill="1" applyBorder="1" applyAlignment="1">
      <alignment horizontal="center" vertical="center"/>
    </xf>
    <xf numFmtId="0" fontId="43" fillId="15" borderId="31" xfId="0" applyFont="1" applyFill="1" applyBorder="1" applyAlignment="1">
      <alignment horizontal="center" vertical="center"/>
    </xf>
    <xf numFmtId="168" fontId="43" fillId="32" borderId="31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0" fillId="8" borderId="8" xfId="0" applyFill="1" applyBorder="1" applyAlignment="1">
      <alignment horizontal="left"/>
    </xf>
    <xf numFmtId="9" fontId="43" fillId="32" borderId="31" xfId="3" applyFont="1" applyFill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0" fillId="8" borderId="8" xfId="0" applyNumberForma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18" borderId="16" xfId="0" applyFont="1" applyFill="1" applyBorder="1" applyAlignment="1">
      <alignment horizontal="center" vertical="center"/>
    </xf>
    <xf numFmtId="0" fontId="0" fillId="0" borderId="0" xfId="0" applyFill="1" applyBorder="1"/>
    <xf numFmtId="0" fontId="59" fillId="0" borderId="0" xfId="0" applyFont="1"/>
    <xf numFmtId="0" fontId="8" fillId="41" borderId="10" xfId="1" applyFont="1" applyFill="1" applyBorder="1" applyAlignment="1">
      <alignment horizontal="center" vertical="center" wrapText="1"/>
    </xf>
    <xf numFmtId="0" fontId="61" fillId="0" borderId="0" xfId="0" applyFont="1"/>
    <xf numFmtId="0" fontId="3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0" fillId="34" borderId="20" xfId="0" applyFont="1" applyFill="1" applyBorder="1" applyAlignment="1">
      <alignment horizontal="center"/>
    </xf>
    <xf numFmtId="0" fontId="44" fillId="5" borderId="11" xfId="0" applyFont="1" applyFill="1" applyBorder="1" applyAlignment="1">
      <alignment horizontal="center" vertical="center" wrapText="1"/>
    </xf>
    <xf numFmtId="0" fontId="44" fillId="5" borderId="9" xfId="0" applyFont="1" applyFill="1" applyBorder="1" applyAlignment="1">
      <alignment horizontal="center" vertical="center" wrapText="1"/>
    </xf>
    <xf numFmtId="0" fontId="44" fillId="5" borderId="10" xfId="0" applyFont="1" applyFill="1" applyBorder="1" applyAlignment="1">
      <alignment horizontal="center" vertical="center" wrapText="1"/>
    </xf>
    <xf numFmtId="0" fontId="0" fillId="0" borderId="9" xfId="0" applyBorder="1"/>
    <xf numFmtId="0" fontId="46" fillId="4" borderId="32" xfId="0" applyFont="1" applyFill="1" applyBorder="1" applyAlignment="1">
      <alignment horizontal="center" vertical="center" wrapText="1"/>
    </xf>
    <xf numFmtId="0" fontId="46" fillId="4" borderId="33" xfId="0" applyFont="1" applyFill="1" applyBorder="1" applyAlignment="1">
      <alignment horizontal="center" vertical="center" wrapText="1"/>
    </xf>
    <xf numFmtId="0" fontId="46" fillId="4" borderId="0" xfId="0" applyFont="1" applyFill="1" applyBorder="1" applyAlignment="1">
      <alignment horizontal="center" vertical="center" wrapText="1"/>
    </xf>
    <xf numFmtId="0" fontId="46" fillId="4" borderId="7" xfId="0" applyFont="1" applyFill="1" applyBorder="1" applyAlignment="1">
      <alignment horizontal="center" vertical="center" wrapText="1"/>
    </xf>
    <xf numFmtId="0" fontId="16" fillId="18" borderId="8" xfId="0" applyFont="1" applyFill="1" applyBorder="1" applyAlignment="1" applyProtection="1">
      <alignment horizontal="center"/>
      <protection locked="0"/>
    </xf>
    <xf numFmtId="17" fontId="16" fillId="18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18" borderId="8" xfId="0" applyFont="1" applyFill="1" applyBorder="1" applyAlignment="1" applyProtection="1">
      <alignment horizontal="center" vertical="center"/>
      <protection locked="0"/>
    </xf>
    <xf numFmtId="0" fontId="16" fillId="18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18" borderId="15" xfId="0" applyFont="1" applyFill="1" applyBorder="1" applyAlignment="1" applyProtection="1">
      <alignment horizontal="center" vertical="center" wrapText="1"/>
      <protection locked="0"/>
    </xf>
    <xf numFmtId="0" fontId="16" fillId="18" borderId="16" xfId="0" applyFont="1" applyFill="1" applyBorder="1" applyAlignment="1" applyProtection="1">
      <alignment horizontal="center" vertical="center" wrapText="1"/>
      <protection locked="0"/>
    </xf>
    <xf numFmtId="0" fontId="16" fillId="18" borderId="8" xfId="0" applyFont="1" applyFill="1" applyBorder="1" applyAlignment="1" applyProtection="1">
      <alignment horizontal="center" vertical="center" wrapText="1"/>
      <protection locked="0"/>
    </xf>
    <xf numFmtId="10" fontId="24" fillId="40" borderId="8" xfId="3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48" fillId="0" borderId="0" xfId="5" applyFont="1" applyFill="1" applyBorder="1" applyAlignment="1">
      <alignment horizontal="center" vertical="center"/>
    </xf>
    <xf numFmtId="0" fontId="38" fillId="0" borderId="27" xfId="17" applyFont="1" applyFill="1" applyBorder="1" applyAlignment="1">
      <alignment horizontal="center" vertical="center"/>
    </xf>
    <xf numFmtId="0" fontId="38" fillId="0" borderId="0" xfId="17" applyFont="1" applyFill="1" applyBorder="1" applyAlignment="1">
      <alignment horizontal="center" vertical="center"/>
    </xf>
    <xf numFmtId="0" fontId="55" fillId="0" borderId="31" xfId="6" applyFont="1" applyFill="1" applyBorder="1" applyAlignment="1">
      <alignment horizontal="center" vertical="center"/>
    </xf>
    <xf numFmtId="0" fontId="49" fillId="0" borderId="31" xfId="7" applyFont="1" applyFill="1" applyBorder="1" applyAlignment="1">
      <alignment horizontal="center" vertical="center" wrapText="1"/>
    </xf>
    <xf numFmtId="0" fontId="54" fillId="0" borderId="31" xfId="7" applyFont="1" applyFill="1" applyBorder="1" applyAlignment="1">
      <alignment horizontal="center" vertical="center" wrapText="1"/>
    </xf>
    <xf numFmtId="1" fontId="58" fillId="0" borderId="0" xfId="15" applyFont="1" applyFill="1" applyBorder="1" applyAlignment="1">
      <alignment horizontal="center" vertical="center"/>
    </xf>
    <xf numFmtId="0" fontId="57" fillId="38" borderId="8" xfId="0" applyFont="1" applyFill="1" applyBorder="1" applyAlignment="1">
      <alignment horizontal="center" vertical="center"/>
    </xf>
    <xf numFmtId="0" fontId="57" fillId="39" borderId="8" xfId="0" applyFont="1" applyFill="1" applyBorder="1" applyAlignment="1">
      <alignment horizontal="center" vertical="center"/>
    </xf>
    <xf numFmtId="0" fontId="57" fillId="36" borderId="35" xfId="0" applyFont="1" applyFill="1" applyBorder="1" applyAlignment="1">
      <alignment horizontal="center" vertical="center"/>
    </xf>
    <xf numFmtId="0" fontId="57" fillId="36" borderId="0" xfId="0" applyFont="1" applyFill="1" applyBorder="1" applyAlignment="1">
      <alignment horizontal="center" vertical="center"/>
    </xf>
    <xf numFmtId="0" fontId="57" fillId="14" borderId="8" xfId="0" applyFont="1" applyFill="1" applyBorder="1" applyAlignment="1">
      <alignment horizontal="center" vertical="center"/>
    </xf>
    <xf numFmtId="0" fontId="57" fillId="5" borderId="0" xfId="0" applyFont="1" applyFill="1" applyAlignment="1">
      <alignment horizontal="center" vertical="center"/>
    </xf>
    <xf numFmtId="0" fontId="8" fillId="15" borderId="10" xfId="0" applyFont="1" applyFill="1" applyBorder="1" applyAlignment="1">
      <alignment vertical="center" wrapText="1"/>
    </xf>
  </cellXfs>
  <cellStyles count="30">
    <cellStyle name="% complete" xfId="19"/>
    <cellStyle name="% complete (beyond plan) legend" xfId="21"/>
    <cellStyle name="Activity" xfId="27"/>
    <cellStyle name="Actual (beyond plan) legend" xfId="20"/>
    <cellStyle name="Actual legend" xfId="18"/>
    <cellStyle name="Currency 2" xfId="4"/>
    <cellStyle name="Explanatory Text" xfId="9" builtinId="53"/>
    <cellStyle name="Explanatory Text 2" xfId="13"/>
    <cellStyle name="Good" xfId="1" builtinId="26"/>
    <cellStyle name="Heading 1 2" xfId="11"/>
    <cellStyle name="Heading 2" xfId="6" builtinId="17"/>
    <cellStyle name="Heading 2 2" xfId="22"/>
    <cellStyle name="Heading 3" xfId="7" builtinId="18"/>
    <cellStyle name="Heading 3 2" xfId="23"/>
    <cellStyle name="Heading 4" xfId="8" builtinId="19"/>
    <cellStyle name="Heading 4 2" xfId="24"/>
    <cellStyle name="Label" xfId="17"/>
    <cellStyle name="Neutral" xfId="2" builtinId="28"/>
    <cellStyle name="Normal" xfId="0" builtinId="0"/>
    <cellStyle name="Normal 2" xfId="12"/>
    <cellStyle name="Normal 3" xfId="28"/>
    <cellStyle name="Percent" xfId="3" builtinId="5"/>
    <cellStyle name="Percent Complete" xfId="26"/>
    <cellStyle name="Period Headers" xfId="25"/>
    <cellStyle name="Period Highlight Control" xfId="14"/>
    <cellStyle name="Period Value" xfId="15"/>
    <cellStyle name="Plan legend" xfId="16"/>
    <cellStyle name="Project Headers" xfId="29"/>
    <cellStyle name="Title" xfId="5" builtinId="15"/>
    <cellStyle name="Title 2" xfId="10"/>
  </cellStyles>
  <dxfs count="487"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ont>
        <color rgb="FFFF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ill>
        <patternFill>
          <bgColor rgb="FFFFFFFF"/>
        </patternFill>
      </fill>
      <border>
        <bottom style="thin">
          <color rgb="FFFFFFFF"/>
        </bottom>
        <vertical/>
        <horizontal/>
      </border>
    </dxf>
    <dxf>
      <fill>
        <patternFill>
          <bgColor rgb="FFF2F2F2"/>
        </patternFill>
      </fill>
      <border>
        <bottom style="thin">
          <color rgb="FFFFFFFF"/>
        </bottom>
        <vertical/>
        <horizontal/>
      </border>
    </dxf>
    <dxf>
      <fill>
        <patternFill>
          <bgColor rgb="FFF7DEB9"/>
        </patternFill>
      </fill>
      <border>
        <left style="thin">
          <color rgb="FFD1881B"/>
        </left>
        <right style="thin">
          <color rgb="FFD1881B"/>
        </right>
        <bottom style="thin">
          <color rgb="FFF7DEB9"/>
        </bottom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rgb="FFFFFFFF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E9AB51"/>
        </patternFill>
      </fill>
      <border>
        <bottom style="thin">
          <color rgb="FFFFFFFF"/>
        </bottom>
      </border>
    </dxf>
    <dxf>
      <fill>
        <patternFill patternType="solid">
          <fgColor auto="1"/>
          <bgColor rgb="FF735773"/>
        </patternFill>
      </fill>
      <border>
        <bottom style="thin">
          <color rgb="FFFFFFFF"/>
        </bottom>
      </border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color theme="0"/>
      </font>
      <fill>
        <gradientFill degree="90">
          <stop position="0">
            <color theme="5" tint="0.40000610370189521"/>
          </stop>
          <stop position="1">
            <color theme="5"/>
          </stop>
        </gradientFill>
      </fill>
    </dxf>
    <dxf>
      <font>
        <b/>
        <i val="0"/>
        <color theme="0"/>
      </font>
      <fill>
        <gradientFill degree="90">
          <stop position="0">
            <color rgb="FF3DC75E"/>
          </stop>
          <stop position="1">
            <color theme="9" tint="-0.2509842219306009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rgb="FF00B050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color theme="0"/>
      </font>
      <fill>
        <gradientFill degree="90">
          <stop position="0">
            <color theme="5" tint="0.40000610370189521"/>
          </stop>
          <stop position="1">
            <color theme="5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color theme="0"/>
      </font>
      <fill>
        <gradientFill degree="90">
          <stop position="0">
            <color theme="5" tint="0.40000610370189521"/>
          </stop>
          <stop position="1">
            <color theme="5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theme="2" tint="-0.49803155613879818"/>
          </stop>
          <stop position="1">
            <color theme="4"/>
          </stop>
        </gradientFill>
      </fill>
    </dxf>
    <dxf>
      <font>
        <color theme="0"/>
      </font>
      <fill>
        <gradientFill degree="90">
          <stop position="0">
            <color theme="5" tint="0.40000610370189521"/>
          </stop>
          <stop position="1">
            <color theme="5"/>
          </stop>
        </gradientFill>
      </fill>
    </dxf>
    <dxf>
      <font>
        <b/>
        <i/>
        <color theme="0"/>
      </font>
      <fill>
        <gradientFill degree="90">
          <stop position="0">
            <color rgb="FF00B050"/>
          </stop>
          <stop position="1">
            <color theme="4"/>
          </stop>
        </gradientFill>
      </fill>
    </dxf>
    <dxf>
      <font>
        <b/>
        <i/>
        <color theme="0"/>
      </font>
      <fill>
        <gradientFill degree="90">
          <stop position="0">
            <color rgb="FFDE18B4"/>
          </stop>
          <stop position="1">
            <color theme="4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font>
        <b/>
      </font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3" formatCode="0%"/>
    </dxf>
    <dxf>
      <numFmt numFmtId="13" formatCode="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22" formatCode="mmm/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color theme="0"/>
      </font>
    </dxf>
    <dxf>
      <font>
        <color theme="0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6" formatCode="_-[$$-409]* #,##0_ ;_-[$$-409]* \-#,##0\ ;_-[$$-409]* &quot;-&quot;??_ ;_-@_ "/>
    </dxf>
    <dxf>
      <numFmt numFmtId="169" formatCode="_-[$$-409]* #,##0.0_ ;_-[$$-409]* \-#,##0.0\ ;_-[$$-409]* &quot;-&quot;??_ ;_-@_ "/>
    </dxf>
    <dxf>
      <numFmt numFmtId="167" formatCode="_-[$$-409]* #,##0.00_ ;_-[$$-409]* \-#,##0.00\ ;_-[$$-409]* &quot;-&quot;??_ ;_-@_ 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bottom style="thin">
          <color theme="4" tint="-0.499984740745262"/>
        </bottom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-0.499984740745262"/>
        </vertical>
        <horizontal style="thin">
          <color theme="4" tint="-0.499984740745262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6" formatCode="_-[$$-409]* #,##0_ ;_-[$$-409]* \-#,##0\ ;_-[$$-409]* &quot;-&quot;??_ ;_-@_ "/>
    </dxf>
    <dxf>
      <numFmt numFmtId="169" formatCode="_-[$$-409]* #,##0.0_ ;_-[$$-409]* \-#,##0.0\ ;_-[$$-409]* &quot;-&quot;??_ ;_-@_ "/>
    </dxf>
    <dxf>
      <numFmt numFmtId="167" formatCode="_-[$$-409]* #,##0.00_ ;_-[$$-409]* \-#,##0.00\ ;_-[$$-409]* &quot;-&quot;??_ ;_-@_ "/>
    </dxf>
    <dxf>
      <numFmt numFmtId="34" formatCode="_ &quot;₹&quot;\ * #,##0.00_ ;_ &quot;₹&quot;\ * \-#,##0.00_ ;_ &quot;₹&quot;\ * &quot;-&quot;??_ ;_ @_ "/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colors>
    <mruColors>
      <color rgb="FFFF6699"/>
      <color rgb="FF3DC75E"/>
      <color rgb="FF3366FF"/>
      <color rgb="FFDE18B4"/>
      <color rgb="FF2DD749"/>
      <color rgb="FFD50F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Performance BAU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spPr/>
              <c:txPr>
                <a:bodyPr/>
                <a:lstStyle/>
                <a:p>
                  <a:pPr>
                    <a:defRPr lang="en-US" b="1">
                      <a:solidFill>
                        <a:schemeClr val="bg2">
                          <a:lumMod val="75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B664-4936-B34B-1D36E6BBBF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Commercial!$C$10:$C$14</c15:sqref>
                  </c15:fullRef>
                </c:ext>
              </c:extLst>
              <c:f>Commercial!$C$12:$C$14</c:f>
              <c:strCache>
                <c:ptCount val="3"/>
                <c:pt idx="0">
                  <c:v>Total BAU PO Cost</c:v>
                </c:pt>
                <c:pt idx="1">
                  <c:v>Total BAU Cost utilized</c:v>
                </c:pt>
                <c:pt idx="2">
                  <c:v>Remaining BAU PO Cost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Commercial!$D$10:$D$14</c15:sqref>
                  </c15:fullRef>
                </c:ext>
              </c:extLst>
              <c:f>Commercial!$D$12:$D$14</c:f>
              <c:numCache>
                <c:formatCode>_-[$$-409]* #,##0.00_ ;_-[$$-409]* \-#,##0.00\ ;_-[$$-409]* "-"??_ ;_-@_ </c:formatCode>
                <c:ptCount val="3"/>
                <c:pt idx="0">
                  <c:v>39000</c:v>
                </c:pt>
                <c:pt idx="1">
                  <c:v>39781.818181818184</c:v>
                </c:pt>
                <c:pt idx="2">
                  <c:v>-781.8181818181838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Commercial!$D$10</c15:sqref>
                  <c15:dLbl>
                    <c:idx val="-1"/>
                    <c:spPr/>
                    <c:txPr>
                      <a:bodyPr/>
                      <a:lstStyle/>
                      <a:p>
                        <a:pPr>
                          <a:defRPr lang="en-US" b="1">
                            <a:solidFill>
                              <a:schemeClr val="accent5"/>
                            </a:solidFill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0-533F-4958-BC81-18F3CECC3ADC}"/>
                      </c:ext>
                    </c:extLst>
                  </c15:dLbl>
                </c15:categoryFilterException>
                <c15:categoryFilterException>
                  <c15:sqref>Commercial!$D$11</c15:sqref>
                  <c15:dLbl>
                    <c:idx val="-1"/>
                    <c:spPr/>
                    <c:txPr>
                      <a:bodyPr/>
                      <a:lstStyle/>
                      <a:p>
                        <a:pPr>
                          <a:defRPr lang="en-US" b="1">
                            <a:solidFill>
                              <a:schemeClr val="accent2"/>
                            </a:solidFill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1-533F-4958-BC81-18F3CECC3ADC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3-C20E-49DE-9F65-41DECB8DE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56764067642707805"/>
          <c:y val="0.57807517656836149"/>
          <c:w val="0.39210029297485005"/>
          <c:h val="0.3902472095419323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Omniflow</a:t>
            </a:r>
            <a:r>
              <a:rPr lang="en-IN" sz="1800" b="1" baseline="0"/>
              <a:t> to iBPS Project</a:t>
            </a:r>
            <a:endParaRPr lang="en-IN" sz="18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8C-4C1F-A804-215BF94BBA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8C-4C1F-A804-215BF94BBA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8C-4C1F-A804-215BF94BBA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Commercial!$C$22:$C$24</c:f>
              <c:strCache>
                <c:ptCount val="3"/>
                <c:pt idx="0">
                  <c:v>Total PO Cost</c:v>
                </c:pt>
                <c:pt idx="1">
                  <c:v>Total Cost utilized</c:v>
                </c:pt>
                <c:pt idx="2">
                  <c:v>Remaining PO Cost</c:v>
                </c:pt>
              </c:strCache>
            </c:strRef>
          </c:cat>
          <c:val>
            <c:numRef>
              <c:f>Commercial!$D$22:$D$24</c:f>
              <c:numCache>
                <c:formatCode>_-[$$-409]* #,##0.00_ ;_-[$$-409]* \-#,##0.00\ ;_-[$$-409]* "-"??_ ;_-@_ </c:formatCode>
                <c:ptCount val="3"/>
                <c:pt idx="0">
                  <c:v>11550</c:v>
                </c:pt>
                <c:pt idx="1">
                  <c:v>7332.5</c:v>
                </c:pt>
                <c:pt idx="2">
                  <c:v>4217.5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8C-4C1F-A804-215BF94BBA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06430446194221"/>
          <c:y val="0.56560011799176257"/>
          <c:w val="0.30926902887139107"/>
          <c:h val="0.305432243890734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Performance BAU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spPr/>
              <c:txPr>
                <a:bodyPr/>
                <a:lstStyle/>
                <a:p>
                  <a:pPr>
                    <a:defRPr lang="en-US" b="1">
                      <a:solidFill>
                        <a:schemeClr val="bg2">
                          <a:lumMod val="75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31CD-47D0-8A6A-9353E4684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Commercial!$C$10:$C$14</c15:sqref>
                  </c15:fullRef>
                </c:ext>
              </c:extLst>
              <c:f>Commercial!$C$12:$C$14</c:f>
              <c:strCache>
                <c:ptCount val="3"/>
                <c:pt idx="0">
                  <c:v>Total BAU PO Cost</c:v>
                </c:pt>
                <c:pt idx="1">
                  <c:v>Total BAU Cost utilized</c:v>
                </c:pt>
                <c:pt idx="2">
                  <c:v>Remaining BAU PO Cost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Commercial!$D$10:$D$14</c15:sqref>
                  </c15:fullRef>
                </c:ext>
              </c:extLst>
              <c:f>Commercial!$D$12:$D$14</c:f>
              <c:numCache>
                <c:formatCode>_-[$$-409]* #,##0.00_ ;_-[$$-409]* \-#,##0.00\ ;_-[$$-409]* "-"??_ ;_-@_ </c:formatCode>
                <c:ptCount val="3"/>
                <c:pt idx="0">
                  <c:v>39000</c:v>
                </c:pt>
                <c:pt idx="1">
                  <c:v>39781.818181818184</c:v>
                </c:pt>
                <c:pt idx="2">
                  <c:v>-781.8181818181838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Commercial!$D$10</c15:sqref>
                  <c15:dLbl>
                    <c:idx val="-1"/>
                    <c:spPr/>
                    <c:txPr>
                      <a:bodyPr/>
                      <a:lstStyle/>
                      <a:p>
                        <a:pPr>
                          <a:defRPr lang="en-US" b="1">
                            <a:solidFill>
                              <a:schemeClr val="accent5"/>
                            </a:solidFill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0-0412-4727-B925-1E98556F53B4}"/>
                      </c:ext>
                    </c:extLst>
                  </c15:dLbl>
                </c15:categoryFilterException>
                <c15:categoryFilterException>
                  <c15:sqref>Commercial!$D$11</c15:sqref>
                  <c15:dLbl>
                    <c:idx val="-1"/>
                    <c:spPr/>
                    <c:txPr>
                      <a:bodyPr/>
                      <a:lstStyle/>
                      <a:p>
                        <a:pPr>
                          <a:defRPr lang="en-US" b="1">
                            <a:solidFill>
                              <a:schemeClr val="accent2"/>
                            </a:solidFill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1-0412-4727-B925-1E98556F53B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3-C20E-49DE-9F65-41DECB8DE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period_selected" max="60" min="1" page="10" val="4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142875</xdr:rowOff>
    </xdr:from>
    <xdr:to>
      <xdr:col>5</xdr:col>
      <xdr:colOff>547687</xdr:colOff>
      <xdr:row>1</xdr:row>
      <xdr:rowOff>178594</xdr:rowOff>
    </xdr:to>
    <xdr:sp macro="" textlink="">
      <xdr:nvSpPr>
        <xdr:cNvPr id="2" name="Rounded Rectangle 1"/>
        <xdr:cNvSpPr/>
      </xdr:nvSpPr>
      <xdr:spPr>
        <a:xfrm>
          <a:off x="226219" y="142875"/>
          <a:ext cx="5060156" cy="226219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Project Overview</a:t>
          </a:r>
        </a:p>
      </xdr:txBody>
    </xdr:sp>
    <xdr:clientData/>
  </xdr:twoCellAnchor>
  <xdr:twoCellAnchor>
    <xdr:from>
      <xdr:col>6</xdr:col>
      <xdr:colOff>762000</xdr:colOff>
      <xdr:row>0</xdr:row>
      <xdr:rowOff>142875</xdr:rowOff>
    </xdr:from>
    <xdr:to>
      <xdr:col>10</xdr:col>
      <xdr:colOff>583405</xdr:colOff>
      <xdr:row>2</xdr:row>
      <xdr:rowOff>23813</xdr:rowOff>
    </xdr:to>
    <xdr:sp macro="" textlink="">
      <xdr:nvSpPr>
        <xdr:cNvPr id="3" name="Rounded Rectangle 2"/>
        <xdr:cNvSpPr/>
      </xdr:nvSpPr>
      <xdr:spPr>
        <a:xfrm>
          <a:off x="6274594" y="142875"/>
          <a:ext cx="5774530" cy="261938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Technical Landscape Overview</a:t>
          </a:r>
        </a:p>
      </xdr:txBody>
    </xdr:sp>
    <xdr:clientData/>
  </xdr:twoCellAnchor>
  <xdr:twoCellAnchor>
    <xdr:from>
      <xdr:col>12</xdr:col>
      <xdr:colOff>359834</xdr:colOff>
      <xdr:row>0</xdr:row>
      <xdr:rowOff>151341</xdr:rowOff>
    </xdr:from>
    <xdr:to>
      <xdr:col>20</xdr:col>
      <xdr:colOff>36635</xdr:colOff>
      <xdr:row>2</xdr:row>
      <xdr:rowOff>24423</xdr:rowOff>
    </xdr:to>
    <xdr:sp macro="" textlink="">
      <xdr:nvSpPr>
        <xdr:cNvPr id="6" name="Rounded Rectangle 5"/>
        <xdr:cNvSpPr/>
      </xdr:nvSpPr>
      <xdr:spPr>
        <a:xfrm>
          <a:off x="11911949" y="151341"/>
          <a:ext cx="8493532" cy="26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Commercial</a:t>
          </a:r>
          <a:r>
            <a:rPr lang="en-IN" sz="1600" b="1" baseline="0">
              <a:solidFill>
                <a:srgbClr val="002060"/>
              </a:solidFill>
            </a:rPr>
            <a:t> </a:t>
          </a:r>
          <a:r>
            <a:rPr lang="en-IN" sz="1600" b="1">
              <a:solidFill>
                <a:srgbClr val="002060"/>
              </a:solidFill>
            </a:rPr>
            <a:t>Overview</a:t>
          </a:r>
        </a:p>
      </xdr:txBody>
    </xdr:sp>
    <xdr:clientData/>
  </xdr:twoCellAnchor>
  <xdr:twoCellAnchor>
    <xdr:from>
      <xdr:col>12</xdr:col>
      <xdr:colOff>359834</xdr:colOff>
      <xdr:row>17</xdr:row>
      <xdr:rowOff>95250</xdr:rowOff>
    </xdr:from>
    <xdr:to>
      <xdr:col>16</xdr:col>
      <xdr:colOff>74062</xdr:colOff>
      <xdr:row>18</xdr:row>
      <xdr:rowOff>180975</xdr:rowOff>
    </xdr:to>
    <xdr:sp macro="" textlink="">
      <xdr:nvSpPr>
        <xdr:cNvPr id="7" name="Rounded Rectangle 6"/>
        <xdr:cNvSpPr/>
      </xdr:nvSpPr>
      <xdr:spPr>
        <a:xfrm>
          <a:off x="11133667" y="3333750"/>
          <a:ext cx="4032228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002060"/>
              </a:solidFill>
            </a:rPr>
            <a:t>Attendance Details</a:t>
          </a:r>
        </a:p>
      </xdr:txBody>
    </xdr:sp>
    <xdr:clientData/>
  </xdr:twoCellAnchor>
  <xdr:twoCellAnchor>
    <xdr:from>
      <xdr:col>12</xdr:col>
      <xdr:colOff>428625</xdr:colOff>
      <xdr:row>5</xdr:row>
      <xdr:rowOff>0</xdr:rowOff>
    </xdr:from>
    <xdr:to>
      <xdr:col>16</xdr:col>
      <xdr:colOff>190500</xdr:colOff>
      <xdr:row>16</xdr:row>
      <xdr:rowOff>19051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720480</xdr:colOff>
      <xdr:row>5</xdr:row>
      <xdr:rowOff>0</xdr:rowOff>
    </xdr:from>
    <xdr:to>
      <xdr:col>19</xdr:col>
      <xdr:colOff>1435034</xdr:colOff>
      <xdr:row>16</xdr:row>
      <xdr:rowOff>17969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0</xdr:row>
      <xdr:rowOff>66674</xdr:rowOff>
    </xdr:from>
    <xdr:to>
      <xdr:col>11</xdr:col>
      <xdr:colOff>390525</xdr:colOff>
      <xdr:row>14</xdr:row>
      <xdr:rowOff>85725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962025</xdr:colOff>
          <xdr:row>1</xdr:row>
          <xdr:rowOff>19050</xdr:rowOff>
        </xdr:from>
        <xdr:to>
          <xdr:col>7</xdr:col>
          <xdr:colOff>1095375</xdr:colOff>
          <xdr:row>1</xdr:row>
          <xdr:rowOff>247650</xdr:rowOff>
        </xdr:to>
        <xdr:sp macro="" textlink="">
          <xdr:nvSpPr>
            <xdr:cNvPr id="32771" name="Spinner 3" descr="Period Highlight Spin Control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NFT%20Project%20Governance%20_Infiniti%20&amp;%20Jupiter%201.3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NFT%20Project%20Governance%20_Infiniti%20&amp;%20Jupiter%201.3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Bank%20Muscat_NFT%20BAU%20Project%20Governance_V1.0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microsoft.com/office/2006/relationships/xlExternalLinkPath/xlPathMissing" Target="Bank%20Muscat_NFT%20BAU%20Project%20Governance_V1.0.xlsm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microsoft.com/office/2006/relationships/xlExternalLinkPath/xlPathMissing" Target="Bank%20Muscat_NFT%20BAU%20Project%20Governance_V1.0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microsoft.com/office/2006/relationships/xlExternalLinkPath/xlPathMissing" Target="Bank%20Muscat_NFT%20BAU%20Project%20Governance_V1.0.xlsm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microsoft.com/office/2006/relationships/xlExternalLinkPath/xlPathMissing" Target="Bank%20Muscat_NFT%20BAU%20Project%20Governance_V1.0.xlsm" TargetMode="External"/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812.556814583331" createdVersion="6" refreshedVersion="6" minRefreshableVersion="3" recordCount="27">
  <cacheSource type="worksheet">
    <worksheetSource ref="C2:N1048576" sheet="Proposal" r:id="rId2"/>
  </cacheSource>
  <cacheFields count="12">
    <cacheField name="Application Under Test" numFmtId="0">
      <sharedItems containsBlank="1"/>
    </cacheField>
    <cacheField name="Client " numFmtId="0">
      <sharedItems containsBlank="1"/>
    </cacheField>
    <cacheField name="Logo" numFmtId="0">
      <sharedItems containsBlank="1"/>
    </cacheField>
    <cacheField name="Location" numFmtId="0">
      <sharedItems containsBlank="1"/>
    </cacheField>
    <cacheField name="Cluster" numFmtId="0">
      <sharedItems containsBlank="1" count="3">
        <m/>
        <s v="Infiniti"/>
        <s v="Jupiter"/>
      </sharedItems>
    </cacheField>
    <cacheField name="Testing Assurance" numFmtId="0">
      <sharedItems containsBlank="1"/>
    </cacheField>
    <cacheField name="RFP Mode" numFmtId="0">
      <sharedItems containsBlank="1" count="3">
        <m/>
        <s v="Integrated RFP"/>
        <s v="Performance RFP"/>
      </sharedItems>
    </cacheField>
    <cacheField name="Status" numFmtId="0">
      <sharedItems containsBlank="1" count="4">
        <m/>
        <s v="Won"/>
        <s v="TBD"/>
        <s v="Not Won"/>
      </sharedItems>
    </cacheField>
    <cacheField name="RFP Submission Date" numFmtId="0">
      <sharedItems containsNonDate="0" containsDate="1" containsString="0" containsBlank="1" minDate="2019-06-16T00:00:00" maxDate="2019-11-22T00:00:00"/>
    </cacheField>
    <cacheField name="Project Delivery Mode" numFmtId="0">
      <sharedItems containsBlank="1"/>
    </cacheField>
    <cacheField name="Proposed Duration (Days)" numFmtId="0">
      <sharedItems containsString="0" containsBlank="1" containsNumber="1" containsInteger="1" minValue="10" maxValue="15"/>
    </cacheField>
    <cacheField name="Tentative Kick off Date" numFmtId="0">
      <sharedItems containsNonDate="0" containsDate="1" containsString="0" containsBlank="1" minDate="2019-10-24T00:00:00" maxDate="2019-10-2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3812.571589814812" createdVersion="6" refreshedVersion="6" minRefreshableVersion="3" recordCount="26">
  <cacheSource type="worksheet">
    <worksheetSource ref="C2:T28" sheet="Proposal" r:id="rId2"/>
  </cacheSource>
  <cacheFields count="18">
    <cacheField name="Application Under Test" numFmtId="0">
      <sharedItems containsBlank="1"/>
    </cacheField>
    <cacheField name="Client " numFmtId="0">
      <sharedItems containsBlank="1" count="21">
        <m/>
        <s v="ABC"/>
        <s v="Al Hilal"/>
        <s v="Bank of Jordan"/>
        <s v="Bank Dhofar"/>
        <s v="BBK"/>
        <s v="CBD"/>
        <s v="CIB"/>
        <s v="Ithmaar"/>
        <s v="QNB"/>
        <s v="SABB"/>
        <s v="RAK"/>
        <s v="Ahli Bank"/>
        <s v="ANB"/>
        <s v="DIB"/>
        <s v="BAB"/>
        <s v="Alawwal"/>
        <s v="UAB"/>
        <s v="QIB"/>
        <s v="NBF"/>
        <s v="Bank Muscat"/>
      </sharedItems>
    </cacheField>
    <cacheField name="Logo" numFmtId="0">
      <sharedItems containsBlank="1"/>
    </cacheField>
    <cacheField name="Location" numFmtId="0">
      <sharedItems containsBlank="1"/>
    </cacheField>
    <cacheField name="Cluster" numFmtId="0">
      <sharedItems containsBlank="1" count="3">
        <m/>
        <s v="Infiniti"/>
        <s v="Jupiter"/>
      </sharedItems>
    </cacheField>
    <cacheField name="Testing Assurance" numFmtId="0">
      <sharedItems containsBlank="1"/>
    </cacheField>
    <cacheField name="RFP Mode" numFmtId="0">
      <sharedItems containsBlank="1" count="3">
        <m/>
        <s v="Integrated RFP"/>
        <s v="Performance RFP"/>
      </sharedItems>
    </cacheField>
    <cacheField name="Status" numFmtId="0">
      <sharedItems containsBlank="1" count="4">
        <m/>
        <s v="Won"/>
        <s v="TBD"/>
        <s v="Not Won"/>
      </sharedItems>
    </cacheField>
    <cacheField name="RFP Submission Date" numFmtId="0">
      <sharedItems containsNonDate="0" containsDate="1" containsString="0" containsBlank="1" minDate="2019-06-16T00:00:00" maxDate="2019-11-22T00:00:00"/>
    </cacheField>
    <cacheField name="Project Delivery Mode" numFmtId="0">
      <sharedItems containsBlank="1"/>
    </cacheField>
    <cacheField name="Proposed Duration (Days)" numFmtId="0">
      <sharedItems containsString="0" containsBlank="1" containsNumber="1" containsInteger="1" minValue="10" maxValue="15"/>
    </cacheField>
    <cacheField name="Tentative Kick off Date" numFmtId="0">
      <sharedItems containsNonDate="0" containsDate="1" containsString="0" containsBlank="1" minDate="2019-10-24T00:00:00" maxDate="2019-10-25T00:00:00"/>
    </cacheField>
    <cacheField name="Proposed PT Tool" numFmtId="0">
      <sharedItems containsBlank="1"/>
    </cacheField>
    <cacheField name="Budgeted _x000a_Service Cost" numFmtId="0">
      <sharedItems containsString="0" containsBlank="1" containsNumber="1" containsInteger="1" minValue="0" maxValue="140000"/>
    </cacheField>
    <cacheField name="Budgeted _x000a_Tool Cost" numFmtId="0">
      <sharedItems containsNonDate="0" containsString="0" containsBlank="1"/>
    </cacheField>
    <cacheField name="Budgeted_x000a_Total Cost (USD)" numFmtId="0">
      <sharedItems containsString="0" containsBlank="1" containsNumber="1" containsInteger="1" minValue="2420" maxValue="140000"/>
    </cacheField>
    <cacheField name="Projected GM %" numFmtId="0">
      <sharedItems containsString="0" containsBlank="1" containsNumber="1" minValue="0.41" maxValue="0.71" count="16">
        <m/>
        <n v="0.45"/>
        <n v="0.46"/>
        <n v="0.51"/>
        <n v="0.55000000000000004"/>
        <n v="0.53"/>
        <n v="0.49"/>
        <n v="0.5"/>
        <n v="0.47"/>
        <n v="0.56999999999999995"/>
        <n v="0.6"/>
        <n v="0.63"/>
        <n v="0.41"/>
        <n v="0.62"/>
        <n v="0.71"/>
        <n v="0.57999999999999996"/>
      </sharedItems>
    </cacheField>
    <cacheField name="Projected GM" numFmtId="0">
      <sharedItems containsString="0" containsBlank="1" containsNumber="1" minValue="0" maxValue="65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4143.48812962963" createdVersion="4" refreshedVersion="3" minRefreshableVersion="3" recordCount="16">
  <cacheSource type="worksheet">
    <worksheetSource ref="B2:N18" sheet="Metrics Tracker" r:id="rId2"/>
  </cacheSource>
  <cacheFields count="13">
    <cacheField name="Project Title" numFmtId="0">
      <sharedItems containsBlank="1" count="4">
        <s v="12 Months statement"/>
        <s v="IB2MB4-CEPS_ExaData"/>
        <s v="CLOS - CAD"/>
        <m/>
      </sharedItems>
    </cacheField>
    <cacheField name="Month" numFmtId="0">
      <sharedItems containsNonDate="0" containsDate="1" containsString="0" containsBlank="1" minDate="2020-10-01T00:00:00" maxDate="2020-10-02T00:00:00" count="2">
        <d v="2020-10-01T00:00:00"/>
        <m/>
      </sharedItems>
    </cacheField>
    <cacheField name="Week" numFmtId="0">
      <sharedItems containsBlank="1" count="6">
        <s v="Week 1"/>
        <s v="Week 2"/>
        <s v="Week 3"/>
        <s v="Week 4"/>
        <s v="Week 5"/>
        <m/>
      </sharedItems>
    </cacheField>
    <cacheField name="No. of Low Complex Script" numFmtId="0">
      <sharedItems containsString="0" containsBlank="1" containsNumber="1" containsInteger="1" minValue="0" maxValue="0"/>
    </cacheField>
    <cacheField name="No. of Medium Complex Script" numFmtId="0">
      <sharedItems containsString="0" containsBlank="1" containsNumber="1" containsInteger="1" minValue="0" maxValue="2"/>
    </cacheField>
    <cacheField name="No. of Highly Complex Script" numFmtId="0">
      <sharedItems containsString="0" containsBlank="1" containsNumber="1" containsInteger="1" minValue="0" maxValue="0"/>
    </cacheField>
    <cacheField name="Total Design Effort (in days)" numFmtId="0">
      <sharedItems containsString="0" containsBlank="1" containsNumber="1" containsInteger="1" minValue="0" maxValue="1"/>
    </cacheField>
    <cacheField name="Test Script Authoring Productivity" numFmtId="0">
      <sharedItems containsString="0" containsBlank="1" containsNumber="1" containsInteger="1" minValue="0" maxValue="2"/>
    </cacheField>
    <cacheField name="No. of Actual Run" numFmtId="0">
      <sharedItems containsString="0" containsBlank="1" containsNumber="1" containsInteger="1" minValue="0" maxValue="2"/>
    </cacheField>
    <cacheField name="No. of Ad-Hoc Run" numFmtId="0">
      <sharedItems containsString="0" containsBlank="1" containsNumber="1" containsInteger="1" minValue="0" maxValue="3"/>
    </cacheField>
    <cacheField name="No. of Re-Run" numFmtId="0">
      <sharedItems containsString="0" containsBlank="1" containsNumber="1" containsInteger="1" minValue="0" maxValue="0"/>
    </cacheField>
    <cacheField name="Total Execution Effort (in days)" numFmtId="0">
      <sharedItems containsString="0" containsBlank="1" containsNumber="1" minValue="0" maxValue="1.5"/>
    </cacheField>
    <cacheField name="Test Execution Productivity" numFmtId="0">
      <sharedItems containsString="0" containsBlank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4143.84666087963" createdVersion="4" refreshedVersion="4" minRefreshableVersion="3" recordCount="76">
  <cacheSource type="worksheet">
    <worksheetSource ref="B4:G153" sheet="Timeline Tracker" r:id="rId2"/>
  </cacheSource>
  <cacheFields count="6">
    <cacheField name="Performance Testing Activities" numFmtId="0">
      <sharedItems containsBlank="1" count="48">
        <m/>
        <s v="12 Month Account Statement"/>
        <s v="Discovery"/>
        <s v="Planning"/>
        <s v="Design"/>
        <s v="Test Execution"/>
        <s v="Load test -1"/>
        <s v="Load test -2"/>
        <s v="Load test -3"/>
        <s v="Stress Test"/>
        <s v="Spike Test"/>
        <s v="Closure"/>
        <s v="Tablet 2.0"/>
        <s v="Script Maintenance"/>
        <s v="30% Load Test"/>
        <s v="50% Load Test"/>
        <s v="100% Load Test"/>
        <s v="Endurance Test"/>
        <s v="IB2MB4 - Exadata"/>
        <s v="Test Closure"/>
        <s v="CLOS - CAD - Workflow 1"/>
        <s v="Test Planing"/>
        <s v="Test Design"/>
        <s v="Sanity Test &amp; 30% Load Test"/>
        <s v="Onsite/ Offshore Movement + VPN Access - BCP Break"/>
        <s v="Branch PT"/>
        <s v="Closure Report, Walkthrough &amp; Sign-Off"/>
        <s v="IB - MBR PT"/>
        <s v="Scope Finalization &amp; Environment readiness check"/>
        <s v="Test Data Creation &amp; Setup"/>
        <s v="Scripting Maintanance"/>
        <s v="Scalability Test"/>
        <s v="Test Results Walkthrough &amp; Sign-Off"/>
        <s v="IB2MB4 - Phase II Sprint 1"/>
        <s v="Eid Break"/>
        <s v="Privilage Access Management"/>
        <s v="Planning &amp; POC"/>
        <s v="PT Pre-requsites"/>
        <s v="Gather Production Performance Issues &amp; Obtain required logs"/>
        <s v="Conduct Root Cause Analysis &amp; Publish RCA report"/>
        <s v="RCA Report Walkthrough"/>
        <s v="Performance Tuning Valdiation"/>
        <s v="O2MS"/>
        <s v="Gather Performance Testing Requirement"/>
        <s v="Performance Test Environment readiness"/>
        <s v="Finalize Performance Metrics"/>
        <s v="Publish Test Strategy"/>
        <s v="Test Results circulation (Test Execution were carried out BM IT"/>
      </sharedItems>
    </cacheField>
    <cacheField name="PLAN START" numFmtId="0">
      <sharedItems containsString="0" containsBlank="1" containsNumber="1" containsInteger="1" minValue="0" maxValue="37"/>
    </cacheField>
    <cacheField name="PLAN DURATION" numFmtId="0">
      <sharedItems containsString="0" containsBlank="1" containsNumber="1" minValue="0" maxValue="8"/>
    </cacheField>
    <cacheField name="ACTUAL START" numFmtId="0">
      <sharedItems containsString="0" containsBlank="1" containsNumber="1" containsInteger="1" minValue="0" maxValue="35"/>
    </cacheField>
    <cacheField name="ACTUAL DURATION" numFmtId="0">
      <sharedItems containsString="0" containsBlank="1" containsNumber="1" minValue="0" maxValue="35"/>
    </cacheField>
    <cacheField name="VARIENCE" numFmtId="0">
      <sharedItems containsString="0" containsBlank="1" containsNumber="1" minValue="-2.66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hor" refreshedDate="44258.553555902778" createdVersion="6" refreshedVersion="6" minRefreshableVersion="3" recordCount="15">
  <cacheSource type="worksheet">
    <worksheetSource ref="B2:R19" sheet="Project Activities" r:id="rId2"/>
  </cacheSource>
  <cacheFields count="17">
    <cacheField name="Project Title" numFmtId="0">
      <sharedItems containsBlank="1" count="15">
        <m/>
        <s v="Corporate LOS - CAD Workflow 1"/>
        <s v="IB2MB4-CEPS_MFP8"/>
        <s v="Tablet 2.0"/>
        <s v="12 Months statement"/>
        <s v="Automated Account Opening"/>
        <s v="Omniflow to iBPS upgrade"/>
        <s v="PAM - Phase 2"/>
        <s v="AML"/>
        <s v="ECC - DB Upgrade"/>
        <s v="IB2MB4-ExaData"/>
        <s v="PAM"/>
        <s v="IB2MB4 - Phase II - Sprint 1"/>
        <s v="O2MS"/>
        <s v="IB Parallel Load to MBS &amp; MBR"/>
      </sharedItems>
    </cacheField>
    <cacheField name="Client" numFmtId="0">
      <sharedItems containsBlank="1"/>
    </cacheField>
    <cacheField name="Landscape" numFmtId="0">
      <sharedItems containsBlank="1"/>
    </cacheField>
    <cacheField name="Year of Kickstart" numFmtId="0">
      <sharedItems containsString="0" containsBlank="1" containsNumber="1" containsInteger="1" minValue="2020" maxValue="2021" count="3">
        <m/>
        <n v="2020"/>
        <n v="2021"/>
      </sharedItems>
    </cacheField>
    <cacheField name="Project Type" numFmtId="0">
      <sharedItems containsBlank="1"/>
    </cacheField>
    <cacheField name="Engagement Model" numFmtId="0">
      <sharedItems containsBlank="1"/>
    </cacheField>
    <cacheField name="OA PIN" numFmtId="0">
      <sharedItems containsString="0" containsBlank="1" containsNumber="1" containsInteger="1" minValue="2054" maxValue="2054"/>
    </cacheField>
    <cacheField name="Legal" numFmtId="0">
      <sharedItems containsBlank="1"/>
    </cacheField>
    <cacheField name="PO Number" numFmtId="0">
      <sharedItems containsString="0" containsBlank="1" containsNumber="1" containsInteger="1" minValue="515540" maxValue="517613"/>
    </cacheField>
    <cacheField name="Planned Project Delivery Model" numFmtId="0">
      <sharedItems containsBlank="1"/>
    </cacheField>
    <cacheField name="Actual Project Delivery Model" numFmtId="0">
      <sharedItems containsBlank="1"/>
    </cacheField>
    <cacheField name="Status" numFmtId="0">
      <sharedItems containsBlank="1" count="4">
        <m/>
        <s v="In-Progress"/>
        <s v="On-Hold"/>
        <s v="Completed"/>
      </sharedItems>
    </cacheField>
    <cacheField name="SPOC" numFmtId="0">
      <sharedItems containsBlank="1" count="4">
        <m/>
        <s v="Mohan"/>
        <s v="Vimal"/>
        <s v="Ashlin"/>
      </sharedItems>
    </cacheField>
    <cacheField name="Project Phase" numFmtId="0">
      <sharedItems containsBlank="1"/>
    </cacheField>
    <cacheField name="RAG Status" numFmtId="0">
      <sharedItems containsNonDate="0" containsString="0" containsBlank="1"/>
    </cacheField>
    <cacheField name="Application Under Test" numFmtId="0">
      <sharedItems containsBlank="1"/>
    </cacheField>
    <cacheField name="Product Own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uthor" refreshedDate="44258.557954629629" createdVersion="4" refreshedVersion="6" minRefreshableVersion="3" recordCount="16">
  <cacheSource type="worksheet">
    <worksheetSource ref="B2:R19" sheet="Project Activities" r:id="rId2"/>
  </cacheSource>
  <cacheFields count="17">
    <cacheField name="Project Title" numFmtId="0">
      <sharedItems containsBlank="1"/>
    </cacheField>
    <cacheField name="Client" numFmtId="0">
      <sharedItems containsBlank="1"/>
    </cacheField>
    <cacheField name="Landscape" numFmtId="0">
      <sharedItems containsBlank="1" count="5">
        <m/>
        <s v="Front Office"/>
        <s v="Digital Channel"/>
        <s v="IT Support"/>
        <s v="Back Office"/>
      </sharedItems>
    </cacheField>
    <cacheField name="Year of Kickstart" numFmtId="0">
      <sharedItems containsString="0" containsBlank="1" containsNumber="1" containsInteger="1" minValue="2020" maxValue="2021" count="3">
        <m/>
        <n v="2020"/>
        <n v="2021"/>
      </sharedItems>
    </cacheField>
    <cacheField name="Project Type" numFmtId="0">
      <sharedItems containsBlank="1" count="4">
        <m/>
        <s v="New Implementation"/>
        <s v="Upgrade"/>
        <s v="Feature Addition"/>
      </sharedItems>
    </cacheField>
    <cacheField name="Engagement Model" numFmtId="0">
      <sharedItems containsBlank="1"/>
    </cacheField>
    <cacheField name="OA PIN" numFmtId="0">
      <sharedItems containsString="0" containsBlank="1" containsNumber="1" containsInteger="1" minValue="2054" maxValue="2054"/>
    </cacheField>
    <cacheField name="Legal" numFmtId="0">
      <sharedItems containsBlank="1"/>
    </cacheField>
    <cacheField name="PO Number" numFmtId="0">
      <sharedItems containsString="0" containsBlank="1" containsNumber="1" containsInteger="1" minValue="515540" maxValue="517613"/>
    </cacheField>
    <cacheField name="Planned Project Delivery Model" numFmtId="0">
      <sharedItems containsBlank="1"/>
    </cacheField>
    <cacheField name="Actual Project Delivery Model" numFmtId="0">
      <sharedItems containsBlank="1"/>
    </cacheField>
    <cacheField name="Status" numFmtId="0">
      <sharedItems containsBlank="1"/>
    </cacheField>
    <cacheField name="SPOC" numFmtId="0">
      <sharedItems containsBlank="1"/>
    </cacheField>
    <cacheField name="Project Phase" numFmtId="0">
      <sharedItems containsBlank="1"/>
    </cacheField>
    <cacheField name="RAG Status" numFmtId="0">
      <sharedItems containsNonDate="0" containsString="0" containsBlank="1"/>
    </cacheField>
    <cacheField name="Application Under Test" numFmtId="0">
      <sharedItems containsBlank="1" count="16">
        <m/>
        <s v="Corporate LOS - CAD"/>
        <s v="IB Retail &amp; Retail Enterprise"/>
        <s v="Tablet 2.0"/>
        <s v="IB_ Retail Enterprise and Corporate"/>
        <s v="Automated Account Opening - iBPS"/>
        <s v="Retail, RLOS and Corporate - iBPS"/>
        <s v="Privilege Access Management"/>
        <s v="AML"/>
        <s v="Electronic Cheque Clearing"/>
        <s v="O2MS 8.6 - Batch Jobs"/>
        <s v="Finacle OCH - IB, MBS, MBR"/>
        <s v="Finacle OCH - IB &amp; MBS" u="1"/>
        <s v="Privilege Access Management _PAM" u="1"/>
        <s v="Finacle OCH" u="1"/>
        <s v="O2MS - Batch Jobs" u="1"/>
      </sharedItems>
    </cacheField>
    <cacheField name="Product Owner" numFmtId="0">
      <sharedItems containsBlank="1" count="6">
        <m/>
        <s v="Newgen"/>
        <s v="Infosys"/>
        <s v="Arconnet"/>
        <s v="AML"/>
        <s v="EC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uthor" refreshedDate="44258.563819675925" createdVersion="6" refreshedVersion="6" minRefreshableVersion="3" recordCount="18">
  <cacheSource type="worksheet">
    <worksheetSource ref="B3:J84" sheet="Attendence Tracker" r:id="rId2"/>
  </cacheSource>
  <cacheFields count="9">
    <cacheField name="Resource Name" numFmtId="0">
      <sharedItems containsBlank="1" count="4">
        <s v="Ashlin Jenefer Christopher"/>
        <s v="Mohan Murugesan"/>
        <s v="Vinod Jackson"/>
        <m/>
      </sharedItems>
    </cacheField>
    <cacheField name="Calendar Year" numFmtId="0">
      <sharedItems containsString="0" containsBlank="1" containsNumber="1" containsInteger="1" minValue="2020" maxValue="2021" count="3">
        <n v="2020"/>
        <n v="2021"/>
        <m/>
      </sharedItems>
    </cacheField>
    <cacheField name="Calendar Month" numFmtId="0">
      <sharedItems containsBlank="1"/>
    </cacheField>
    <cacheField name="ON Present Days" numFmtId="0">
      <sharedItems containsString="0" containsBlank="1" containsNumber="1" containsInteger="1" minValue="0" maxValue="12"/>
    </cacheField>
    <cacheField name="OFF Present Days" numFmtId="0">
      <sharedItems containsString="0" containsBlank="1" containsNumber="1" containsInteger="1" minValue="0" maxValue="22"/>
    </cacheField>
    <cacheField name="ON Leaves" numFmtId="0">
      <sharedItems containsString="0" containsBlank="1" containsNumber="1" containsInteger="1" minValue="0" maxValue="0"/>
    </cacheField>
    <cacheField name="OFF Leaves" numFmtId="0">
      <sharedItems containsString="0" containsBlank="1" containsNumber="1" containsInteger="1" minValue="0" maxValue="6"/>
    </cacheField>
    <cacheField name="ON - HOL" numFmtId="0">
      <sharedItems containsString="0" containsBlank="1" containsNumber="1" containsInteger="1" minValue="0" maxValue="0"/>
    </cacheField>
    <cacheField name="OFF - HOL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m/>
    <m/>
    <m/>
    <m/>
    <x v="0"/>
    <m/>
    <x v="0"/>
    <x v="0"/>
    <m/>
    <m/>
    <m/>
    <m/>
  </r>
  <r>
    <s v="Mobile Banking"/>
    <s v="ABC"/>
    <s v="NN"/>
    <s v="Bahrain"/>
    <x v="1"/>
    <s v="Performance Testing"/>
    <x v="1"/>
    <x v="1"/>
    <m/>
    <s v="T&amp;M"/>
    <m/>
    <m/>
  </r>
  <r>
    <s v="T24 - Core Banking"/>
    <s v="Al Hilal"/>
    <s v="EN"/>
    <s v="Abu Dhabi"/>
    <x v="2"/>
    <s v="Performance Testing"/>
    <x v="1"/>
    <x v="2"/>
    <m/>
    <m/>
    <m/>
    <m/>
  </r>
  <r>
    <s v="T24 - Core Banking"/>
    <s v="Bank of Jordan"/>
    <s v="NN"/>
    <s v="Jordan"/>
    <x v="2"/>
    <s v="Performance Testing"/>
    <x v="1"/>
    <x v="2"/>
    <m/>
    <m/>
    <m/>
    <m/>
  </r>
  <r>
    <s v="CRM next"/>
    <s v="Bank Dhofar"/>
    <s v="EN"/>
    <s v="Muscat"/>
    <x v="1"/>
    <s v="Performance Testing"/>
    <x v="2"/>
    <x v="3"/>
    <d v="2019-06-16T00:00:00"/>
    <m/>
    <m/>
    <m/>
  </r>
  <r>
    <s v="Cash Management Solutions"/>
    <s v="BBK"/>
    <s v="NN"/>
    <s v="Bahrain"/>
    <x v="1"/>
    <s v="Performance Testing"/>
    <x v="1"/>
    <x v="1"/>
    <m/>
    <s v="Fixed Bid"/>
    <m/>
    <m/>
  </r>
  <r>
    <s v="Digital (Mobile, Tabloit, Internet Banking)"/>
    <s v="BBK"/>
    <s v="NN"/>
    <s v="Bahrain"/>
    <x v="1"/>
    <s v="Performance Testing"/>
    <x v="1"/>
    <x v="2"/>
    <d v="2019-10-08T00:00:00"/>
    <m/>
    <m/>
    <m/>
  </r>
  <r>
    <s v="Mobile Banking, CRM, Customer onboarding"/>
    <s v="CBD"/>
    <s v="NN"/>
    <s v="Dubai"/>
    <x v="1"/>
    <s v="Performance Testing"/>
    <x v="2"/>
    <x v="2"/>
    <d v="2019-07-12T00:00:00"/>
    <m/>
    <m/>
    <m/>
  </r>
  <r>
    <s v="EXUS Collection Systems"/>
    <s v="CIB"/>
    <s v="EN"/>
    <s v="Egypt"/>
    <x v="2"/>
    <s v="Performance Testing"/>
    <x v="1"/>
    <x v="2"/>
    <d v="2019-09-01T00:00:00"/>
    <m/>
    <m/>
    <m/>
  </r>
  <r>
    <s v="Liability, CRM, Collection, MB"/>
    <s v="Ithmaar"/>
    <s v="EN"/>
    <s v="Bahrain"/>
    <x v="1"/>
    <s v="Performance Testing"/>
    <x v="1"/>
    <x v="3"/>
    <d v="2019-07-30T00:00:00"/>
    <m/>
    <m/>
    <m/>
  </r>
  <r>
    <s v="Public Site"/>
    <s v="QNB"/>
    <s v="EN"/>
    <s v="Qatar"/>
    <x v="1"/>
    <s v="Performance Testing"/>
    <x v="2"/>
    <x v="3"/>
    <d v="2019-08-20T00:00:00"/>
    <m/>
    <m/>
    <m/>
  </r>
  <r>
    <s v="Cortex, Cards400, HUB"/>
    <s v="SABB"/>
    <s v="EN"/>
    <s v="KSA"/>
    <x v="2"/>
    <s v="Performance Testing"/>
    <x v="1"/>
    <x v="3"/>
    <d v="2019-10-29T00:00:00"/>
    <m/>
    <m/>
    <m/>
  </r>
  <r>
    <s v="Middleware Upgrade"/>
    <s v="RAK"/>
    <s v="EN"/>
    <s v="Dubai"/>
    <x v="1"/>
    <s v="Performance Testing"/>
    <x v="1"/>
    <x v="2"/>
    <d v="2019-09-26T00:00:00"/>
    <m/>
    <m/>
    <m/>
  </r>
  <r>
    <s v="Mobile Banking"/>
    <s v="Ahli Bank"/>
    <s v="EN"/>
    <s v="Qatar"/>
    <x v="1"/>
    <s v="Performance Testing"/>
    <x v="1"/>
    <x v="3"/>
    <m/>
    <m/>
    <m/>
    <m/>
  </r>
  <r>
    <s v="Mubasher Trade application"/>
    <s v="ANB"/>
    <s v="EN"/>
    <s v="KSA"/>
    <x v="2"/>
    <s v="Performance Testing"/>
    <x v="2"/>
    <x v="1"/>
    <d v="2019-10-09T00:00:00"/>
    <s v="Fixed Bid"/>
    <m/>
    <m/>
  </r>
  <r>
    <s v="Sahem IPO"/>
    <s v="ANB"/>
    <s v="EN"/>
    <s v="KSA"/>
    <x v="2"/>
    <s v="Performance Testing"/>
    <x v="2"/>
    <x v="1"/>
    <d v="2019-10-17T00:00:00"/>
    <s v="Fixed Bid"/>
    <n v="10"/>
    <m/>
  </r>
  <r>
    <s v="Oracle Forms Login Screen"/>
    <s v="DIB"/>
    <s v="EN"/>
    <s v="Dubai"/>
    <x v="1"/>
    <s v="Performance Testing"/>
    <x v="2"/>
    <x v="3"/>
    <d v="2019-10-14T00:00:00"/>
    <m/>
    <m/>
    <m/>
  </r>
  <r>
    <s v="FIS Front Arena"/>
    <s v="QNB"/>
    <s v="EN"/>
    <s v="Qatar"/>
    <x v="1"/>
    <s v="Performance Testing"/>
    <x v="1"/>
    <x v="2"/>
    <d v="2019-10-12T00:00:00"/>
    <m/>
    <m/>
    <m/>
  </r>
  <r>
    <s v="EIPO Portal"/>
    <s v="BAB"/>
    <s v="EN"/>
    <s v="KSA"/>
    <x v="2"/>
    <s v="Performance Testing"/>
    <x v="2"/>
    <x v="1"/>
    <d v="2019-10-20T00:00:00"/>
    <s v="Fixed Bid"/>
    <n v="15"/>
    <d v="2019-10-24T00:00:00"/>
  </r>
  <r>
    <s v="IPO Module (IB, MB, T24)"/>
    <s v="Alawwal"/>
    <s v="EN"/>
    <s v="KSA"/>
    <x v="2"/>
    <s v="Performance Testing"/>
    <x v="2"/>
    <x v="1"/>
    <d v="2019-10-28T00:00:00"/>
    <s v="T&amp;M"/>
    <n v="15"/>
    <m/>
  </r>
  <r>
    <s v="IB, MB, E-Wallet"/>
    <s v="Ahli Bank"/>
    <s v="EN"/>
    <s v="Qatar"/>
    <x v="1"/>
    <s v="Performance Testing"/>
    <x v="1"/>
    <x v="2"/>
    <d v="2019-10-25T00:00:00"/>
    <m/>
    <m/>
    <m/>
  </r>
  <r>
    <s v="Retail Mobile Banking"/>
    <s v="UAB"/>
    <s v="NN"/>
    <s v="Dubai"/>
    <x v="1"/>
    <s v="Performance Testing"/>
    <x v="2"/>
    <x v="3"/>
    <d v="2019-10-30T00:00:00"/>
    <m/>
    <m/>
    <m/>
  </r>
  <r>
    <s v="Base 24 EPS"/>
    <s v="QIB"/>
    <s v="EN"/>
    <s v="Qatar"/>
    <x v="1"/>
    <s v="Performance Testing"/>
    <x v="1"/>
    <x v="2"/>
    <d v="2019-11-21T00:00:00"/>
    <m/>
    <m/>
    <m/>
  </r>
  <r>
    <s v="T24 - Core Banking Upgrade (Baseline &amp; Benchmarking)"/>
    <s v="NBF"/>
    <s v="NN"/>
    <s v="Dubai"/>
    <x v="2"/>
    <s v="Performance Testing"/>
    <x v="1"/>
    <x v="2"/>
    <d v="2019-11-05T00:00:00"/>
    <m/>
    <m/>
    <m/>
  </r>
  <r>
    <s v="CLOS - Corporate LOS"/>
    <s v="Bank Muscat"/>
    <s v="EN"/>
    <s v="Muscat"/>
    <x v="1"/>
    <s v="Performance Testing"/>
    <x v="2"/>
    <x v="1"/>
    <d v="2019-10-29T00:00:00"/>
    <s v="Fixed Bid"/>
    <n v="10"/>
    <m/>
  </r>
  <r>
    <s v="Oracle ERP - LMS"/>
    <s v="Bank Muscat"/>
    <s v="EN"/>
    <s v="Muscat"/>
    <x v="1"/>
    <s v="Performance Testing"/>
    <x v="2"/>
    <x v="1"/>
    <d v="2019-08-24T00:00:00"/>
    <s v="Fixed Bid"/>
    <n v="15"/>
    <m/>
  </r>
  <r>
    <m/>
    <m/>
    <m/>
    <m/>
    <x v="0"/>
    <m/>
    <x v="0"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m/>
    <x v="0"/>
    <m/>
    <m/>
    <x v="0"/>
    <m/>
    <x v="0"/>
    <x v="0"/>
    <m/>
    <m/>
    <m/>
    <m/>
    <m/>
    <m/>
    <m/>
    <m/>
    <x v="0"/>
    <m/>
  </r>
  <r>
    <s v="Mobile Banking"/>
    <x v="1"/>
    <s v="NN"/>
    <s v="Bahrain"/>
    <x v="1"/>
    <s v="Performance Testing"/>
    <x v="1"/>
    <x v="1"/>
    <m/>
    <s v="T&amp;M"/>
    <m/>
    <m/>
    <s v="Jmeter"/>
    <n v="50000"/>
    <m/>
    <n v="50000"/>
    <x v="1"/>
    <n v="22500"/>
  </r>
  <r>
    <s v="T24 - Core Banking"/>
    <x v="2"/>
    <s v="EN"/>
    <s v="Abu Dhabi"/>
    <x v="2"/>
    <s v="Performance Testing"/>
    <x v="1"/>
    <x v="2"/>
    <m/>
    <m/>
    <m/>
    <m/>
    <s v="RPT"/>
    <n v="0"/>
    <m/>
    <m/>
    <x v="0"/>
    <n v="0"/>
  </r>
  <r>
    <s v="T24 - Core Banking"/>
    <x v="3"/>
    <s v="NN"/>
    <s v="Jordan"/>
    <x v="2"/>
    <s v="Performance Testing"/>
    <x v="1"/>
    <x v="2"/>
    <m/>
    <m/>
    <m/>
    <m/>
    <s v="RPT"/>
    <n v="0"/>
    <m/>
    <m/>
    <x v="0"/>
    <n v="0"/>
  </r>
  <r>
    <s v="CRM next"/>
    <x v="4"/>
    <s v="EN"/>
    <s v="Muscat"/>
    <x v="1"/>
    <s v="Performance Testing"/>
    <x v="2"/>
    <x v="3"/>
    <d v="2019-06-16T00:00:00"/>
    <m/>
    <m/>
    <m/>
    <s v="RPT"/>
    <n v="23502"/>
    <m/>
    <n v="23502"/>
    <x v="2"/>
    <n v="10810.92"/>
  </r>
  <r>
    <s v="Cash Management Solutions"/>
    <x v="5"/>
    <s v="NN"/>
    <s v="Bahrain"/>
    <x v="1"/>
    <s v="Performance Testing"/>
    <x v="1"/>
    <x v="1"/>
    <m/>
    <s v="Fixed Bid"/>
    <m/>
    <m/>
    <s v="RPT"/>
    <n v="41500"/>
    <m/>
    <n v="41500"/>
    <x v="3"/>
    <n v="21165"/>
  </r>
  <r>
    <s v="Digital (Mobile, Tabloit, Internet Banking)"/>
    <x v="5"/>
    <s v="NN"/>
    <s v="Bahrain"/>
    <x v="1"/>
    <s v="Performance Testing"/>
    <x v="1"/>
    <x v="2"/>
    <d v="2019-10-08T00:00:00"/>
    <m/>
    <m/>
    <m/>
    <s v="RPT"/>
    <n v="31850"/>
    <m/>
    <n v="31850"/>
    <x v="4"/>
    <n v="17517.5"/>
  </r>
  <r>
    <s v="Mobile Banking, CRM, Customer onboarding"/>
    <x v="6"/>
    <s v="NN"/>
    <s v="Dubai"/>
    <x v="1"/>
    <s v="Performance Testing"/>
    <x v="2"/>
    <x v="2"/>
    <d v="2019-07-12T00:00:00"/>
    <m/>
    <m/>
    <m/>
    <s v="RPT"/>
    <n v="90595"/>
    <m/>
    <n v="90595"/>
    <x v="5"/>
    <n v="48015.350000000006"/>
  </r>
  <r>
    <s v="EXUS Collection Systems"/>
    <x v="7"/>
    <s v="EN"/>
    <s v="Egypt"/>
    <x v="2"/>
    <s v="Performance Testing"/>
    <x v="1"/>
    <x v="2"/>
    <d v="2019-09-01T00:00:00"/>
    <m/>
    <m/>
    <m/>
    <s v="LR"/>
    <n v="15000"/>
    <m/>
    <n v="15000"/>
    <x v="6"/>
    <n v="7350"/>
  </r>
  <r>
    <s v="Liability, CRM, Collection, MB"/>
    <x v="8"/>
    <s v="EN"/>
    <s v="Bahrain"/>
    <x v="1"/>
    <s v="Performance Testing"/>
    <x v="1"/>
    <x v="3"/>
    <d v="2019-07-30T00:00:00"/>
    <m/>
    <m/>
    <m/>
    <s v="RPT"/>
    <n v="44250"/>
    <m/>
    <n v="44250"/>
    <x v="5"/>
    <n v="23452.5"/>
  </r>
  <r>
    <s v="Public Site"/>
    <x v="9"/>
    <s v="EN"/>
    <s v="Qatar"/>
    <x v="1"/>
    <s v="Performance Testing"/>
    <x v="2"/>
    <x v="3"/>
    <d v="2019-08-20T00:00:00"/>
    <m/>
    <m/>
    <m/>
    <s v="RPT"/>
    <n v="18000"/>
    <m/>
    <n v="18000"/>
    <x v="7"/>
    <n v="9000"/>
  </r>
  <r>
    <s v="Cortex, Cards400, HUB"/>
    <x v="10"/>
    <s v="EN"/>
    <s v="KSA"/>
    <x v="2"/>
    <s v="Performance Testing"/>
    <x v="1"/>
    <x v="3"/>
    <d v="2019-10-29T00:00:00"/>
    <m/>
    <m/>
    <m/>
    <s v="RPT"/>
    <n v="140000"/>
    <m/>
    <n v="140000"/>
    <x v="8"/>
    <n v="65800"/>
  </r>
  <r>
    <s v="Middleware Upgrade"/>
    <x v="11"/>
    <s v="EN"/>
    <s v="Dubai"/>
    <x v="1"/>
    <s v="Performance Testing"/>
    <x v="1"/>
    <x v="2"/>
    <d v="2019-09-26T00:00:00"/>
    <m/>
    <m/>
    <m/>
    <s v="RPT"/>
    <n v="14875"/>
    <m/>
    <n v="14875"/>
    <x v="1"/>
    <n v="6693.75"/>
  </r>
  <r>
    <s v="Mobile Banking"/>
    <x v="12"/>
    <s v="EN"/>
    <s v="Qatar"/>
    <x v="1"/>
    <s v="Performance Testing"/>
    <x v="1"/>
    <x v="3"/>
    <m/>
    <m/>
    <m/>
    <m/>
    <s v="RPT"/>
    <n v="8000"/>
    <m/>
    <n v="8000"/>
    <x v="9"/>
    <n v="4560"/>
  </r>
  <r>
    <s v="Mubasher Trade application"/>
    <x v="13"/>
    <s v="EN"/>
    <s v="KSA"/>
    <x v="2"/>
    <s v="Performance Testing"/>
    <x v="2"/>
    <x v="1"/>
    <d v="2019-10-09T00:00:00"/>
    <s v="Fixed Bid"/>
    <m/>
    <m/>
    <s v="RPT"/>
    <n v="11850"/>
    <m/>
    <n v="11850"/>
    <x v="10"/>
    <n v="7110"/>
  </r>
  <r>
    <s v="Sahem IPO"/>
    <x v="13"/>
    <s v="EN"/>
    <s v="KSA"/>
    <x v="2"/>
    <s v="Performance Testing"/>
    <x v="2"/>
    <x v="1"/>
    <d v="2019-10-17T00:00:00"/>
    <s v="Fixed Bid"/>
    <n v="10"/>
    <m/>
    <s v="RPT"/>
    <n v="2420"/>
    <m/>
    <n v="2420"/>
    <x v="11"/>
    <n v="1524.6"/>
  </r>
  <r>
    <s v="Oracle Forms Login Screen"/>
    <x v="14"/>
    <s v="EN"/>
    <s v="Dubai"/>
    <x v="1"/>
    <s v="Performance Testing"/>
    <x v="2"/>
    <x v="3"/>
    <d v="2019-10-14T00:00:00"/>
    <m/>
    <m/>
    <m/>
    <s v="RPT"/>
    <n v="3000"/>
    <m/>
    <n v="3000"/>
    <x v="12"/>
    <n v="1230"/>
  </r>
  <r>
    <s v="FIS Front Arena"/>
    <x v="9"/>
    <s v="EN"/>
    <s v="Qatar"/>
    <x v="1"/>
    <s v="Performance Testing"/>
    <x v="1"/>
    <x v="2"/>
    <d v="2019-10-12T00:00:00"/>
    <m/>
    <m/>
    <m/>
    <s v="RPT"/>
    <n v="60075"/>
    <m/>
    <n v="60075"/>
    <x v="13"/>
    <n v="37246.5"/>
  </r>
  <r>
    <s v="EIPO Portal"/>
    <x v="15"/>
    <s v="EN"/>
    <s v="KSA"/>
    <x v="2"/>
    <s v="Performance Testing"/>
    <x v="2"/>
    <x v="1"/>
    <d v="2019-10-20T00:00:00"/>
    <s v="Fixed Bid"/>
    <n v="15"/>
    <d v="2019-10-24T00:00:00"/>
    <s v="RPT"/>
    <n v="3345"/>
    <m/>
    <n v="4425"/>
    <x v="14"/>
    <n v="3141.75"/>
  </r>
  <r>
    <s v="IPO Module (IB, MB, T24)"/>
    <x v="16"/>
    <s v="EN"/>
    <s v="KSA"/>
    <x v="2"/>
    <s v="Performance Testing"/>
    <x v="2"/>
    <x v="1"/>
    <d v="2019-10-28T00:00:00"/>
    <s v="T&amp;M"/>
    <n v="15"/>
    <m/>
    <s v="RPT"/>
    <n v="6525"/>
    <m/>
    <n v="7425"/>
    <x v="15"/>
    <n v="4306.5"/>
  </r>
  <r>
    <s v="IB, MB, E-Wallet"/>
    <x v="12"/>
    <s v="EN"/>
    <s v="Qatar"/>
    <x v="1"/>
    <s v="Performance Testing"/>
    <x v="1"/>
    <x v="2"/>
    <d v="2019-10-25T00:00:00"/>
    <m/>
    <m/>
    <m/>
    <s v="RPT"/>
    <n v="75350"/>
    <m/>
    <n v="75350"/>
    <x v="5"/>
    <n v="39935.5"/>
  </r>
  <r>
    <s v="Retail Mobile Banking"/>
    <x v="17"/>
    <s v="NN"/>
    <s v="Dubai"/>
    <x v="1"/>
    <s v="Performance Testing"/>
    <x v="2"/>
    <x v="3"/>
    <d v="2019-10-30T00:00:00"/>
    <m/>
    <m/>
    <m/>
    <s v="RPT"/>
    <n v="17700"/>
    <m/>
    <n v="17700"/>
    <x v="6"/>
    <n v="8673"/>
  </r>
  <r>
    <s v="Base 24 EPS"/>
    <x v="18"/>
    <s v="EN"/>
    <s v="Qatar"/>
    <x v="1"/>
    <s v="Performance Testing"/>
    <x v="1"/>
    <x v="2"/>
    <d v="2019-11-21T00:00:00"/>
    <m/>
    <m/>
    <m/>
    <s v="RPT"/>
    <n v="26850"/>
    <m/>
    <n v="26850"/>
    <x v="15"/>
    <n v="15572.999999999998"/>
  </r>
  <r>
    <s v="T24 - Core Banking Upgrade (Baseline &amp; Benchmarking)"/>
    <x v="19"/>
    <s v="NN"/>
    <s v="Dubai"/>
    <x v="2"/>
    <s v="Performance Testing"/>
    <x v="1"/>
    <x v="2"/>
    <d v="2019-11-05T00:00:00"/>
    <m/>
    <m/>
    <m/>
    <s v="RPT"/>
    <n v="64000"/>
    <m/>
    <n v="64000"/>
    <x v="7"/>
    <n v="32000"/>
  </r>
  <r>
    <s v="CLOS - Corporate LOS"/>
    <x v="20"/>
    <s v="EN"/>
    <s v="Muscat"/>
    <x v="1"/>
    <s v="Performance Testing"/>
    <x v="2"/>
    <x v="1"/>
    <d v="2019-10-29T00:00:00"/>
    <s v="Fixed Bid"/>
    <n v="10"/>
    <m/>
    <s v="RPT"/>
    <n v="5100"/>
    <m/>
    <n v="6000"/>
    <x v="7"/>
    <n v="3000"/>
  </r>
  <r>
    <s v="Oracle ERP - LMS"/>
    <x v="20"/>
    <s v="EN"/>
    <s v="Muscat"/>
    <x v="1"/>
    <s v="Performance Testing"/>
    <x v="2"/>
    <x v="1"/>
    <d v="2019-08-24T00:00:00"/>
    <s v="Fixed Bid"/>
    <n v="15"/>
    <m/>
    <s v="RPT"/>
    <n v="5825"/>
    <m/>
    <n v="6500"/>
    <x v="12"/>
    <n v="266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x v="0"/>
    <x v="0"/>
    <x v="0"/>
    <n v="0"/>
    <n v="0"/>
    <n v="0"/>
    <n v="0"/>
    <n v="0"/>
    <n v="0"/>
    <n v="0"/>
    <n v="0"/>
    <n v="0"/>
    <n v="0"/>
  </r>
  <r>
    <x v="0"/>
    <x v="0"/>
    <x v="1"/>
    <n v="0"/>
    <n v="0"/>
    <n v="0"/>
    <n v="0"/>
    <n v="0"/>
    <n v="0"/>
    <n v="0"/>
    <n v="0"/>
    <n v="0"/>
    <n v="0"/>
  </r>
  <r>
    <x v="0"/>
    <x v="0"/>
    <x v="2"/>
    <n v="0"/>
    <n v="0"/>
    <n v="0"/>
    <n v="0"/>
    <n v="0"/>
    <n v="0"/>
    <n v="0"/>
    <n v="0"/>
    <n v="0"/>
    <n v="0"/>
  </r>
  <r>
    <x v="0"/>
    <x v="0"/>
    <x v="3"/>
    <n v="0"/>
    <n v="2"/>
    <n v="0"/>
    <n v="1"/>
    <n v="2"/>
    <n v="0"/>
    <n v="0"/>
    <n v="0"/>
    <n v="0"/>
    <n v="0"/>
  </r>
  <r>
    <x v="0"/>
    <x v="0"/>
    <x v="4"/>
    <n v="0"/>
    <n v="0"/>
    <n v="0"/>
    <n v="0"/>
    <n v="0"/>
    <n v="0"/>
    <n v="0"/>
    <n v="0"/>
    <n v="0"/>
    <n v="0"/>
  </r>
  <r>
    <x v="1"/>
    <x v="0"/>
    <x v="0"/>
    <n v="0"/>
    <n v="0"/>
    <n v="0"/>
    <n v="0"/>
    <n v="0"/>
    <n v="0"/>
    <n v="0"/>
    <n v="0"/>
    <n v="0"/>
    <n v="0"/>
  </r>
  <r>
    <x v="1"/>
    <x v="0"/>
    <x v="1"/>
    <n v="0"/>
    <n v="0"/>
    <n v="0"/>
    <n v="0"/>
    <n v="0"/>
    <n v="1"/>
    <n v="0"/>
    <n v="0"/>
    <n v="0.25"/>
    <n v="4"/>
  </r>
  <r>
    <x v="1"/>
    <x v="0"/>
    <x v="2"/>
    <n v="0"/>
    <n v="0"/>
    <n v="0"/>
    <n v="0"/>
    <n v="0"/>
    <n v="0"/>
    <n v="1"/>
    <n v="0"/>
    <n v="0.25"/>
    <n v="4"/>
  </r>
  <r>
    <x v="1"/>
    <x v="0"/>
    <x v="3"/>
    <n v="0"/>
    <n v="0"/>
    <n v="0"/>
    <n v="0"/>
    <n v="0"/>
    <n v="0"/>
    <n v="1"/>
    <n v="0"/>
    <n v="0.25"/>
    <n v="4"/>
  </r>
  <r>
    <x v="1"/>
    <x v="0"/>
    <x v="4"/>
    <n v="0"/>
    <n v="0"/>
    <n v="0"/>
    <n v="0"/>
    <n v="0"/>
    <n v="0"/>
    <n v="1"/>
    <n v="0"/>
    <n v="0.25"/>
    <n v="4"/>
  </r>
  <r>
    <x v="2"/>
    <x v="0"/>
    <x v="0"/>
    <n v="0"/>
    <n v="0"/>
    <n v="0"/>
    <n v="0"/>
    <n v="0"/>
    <n v="0"/>
    <n v="0"/>
    <n v="0"/>
    <n v="0"/>
    <n v="0"/>
  </r>
  <r>
    <x v="2"/>
    <x v="0"/>
    <x v="1"/>
    <n v="0"/>
    <n v="0"/>
    <n v="0"/>
    <n v="0"/>
    <n v="0"/>
    <n v="0"/>
    <n v="0"/>
    <n v="0"/>
    <n v="0"/>
    <n v="0"/>
  </r>
  <r>
    <x v="2"/>
    <x v="0"/>
    <x v="2"/>
    <n v="0"/>
    <n v="0"/>
    <n v="0"/>
    <n v="0"/>
    <n v="0"/>
    <n v="0"/>
    <n v="3"/>
    <n v="0"/>
    <n v="0.75"/>
    <n v="4"/>
  </r>
  <r>
    <x v="2"/>
    <x v="0"/>
    <x v="3"/>
    <n v="0"/>
    <n v="0"/>
    <n v="0"/>
    <n v="0"/>
    <n v="0"/>
    <n v="2"/>
    <n v="1"/>
    <n v="0"/>
    <n v="1.5"/>
    <n v="2"/>
  </r>
  <r>
    <x v="2"/>
    <x v="0"/>
    <x v="4"/>
    <n v="0"/>
    <n v="0"/>
    <n v="0"/>
    <n v="0"/>
    <n v="0"/>
    <n v="0"/>
    <n v="0"/>
    <n v="0"/>
    <n v="0"/>
    <n v="0"/>
  </r>
  <r>
    <x v="3"/>
    <x v="1"/>
    <x v="5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6">
  <r>
    <x v="0"/>
    <m/>
    <m/>
    <m/>
    <m/>
    <m/>
  </r>
  <r>
    <x v="1"/>
    <n v="33"/>
    <n v="4"/>
    <n v="33"/>
    <n v="5"/>
    <n v="0.25"/>
  </r>
  <r>
    <x v="2"/>
    <n v="33"/>
    <n v="0.4"/>
    <n v="33"/>
    <n v="2"/>
    <n v="1.6"/>
  </r>
  <r>
    <x v="3"/>
    <n v="34"/>
    <n v="0.2"/>
    <n v="34"/>
    <n v="2"/>
    <n v="1.8"/>
  </r>
  <r>
    <x v="4"/>
    <n v="34"/>
    <n v="0.4"/>
    <n v="34"/>
    <n v="1"/>
    <n v="0.6"/>
  </r>
  <r>
    <x v="5"/>
    <n v="35"/>
    <n v="2.5"/>
    <n v="0"/>
    <n v="0"/>
    <n v="-2.5"/>
  </r>
  <r>
    <x v="6"/>
    <n v="35"/>
    <n v="0.5"/>
    <n v="0"/>
    <n v="0"/>
    <n v="-0.5"/>
  </r>
  <r>
    <x v="7"/>
    <n v="35"/>
    <n v="0.5"/>
    <n v="0"/>
    <n v="0"/>
    <n v="-0.5"/>
  </r>
  <r>
    <x v="8"/>
    <n v="36"/>
    <n v="0.5"/>
    <n v="0"/>
    <n v="0"/>
    <n v="-0.5"/>
  </r>
  <r>
    <x v="9"/>
    <n v="36"/>
    <n v="0.5"/>
    <n v="0"/>
    <n v="0"/>
    <n v="-0.5"/>
  </r>
  <r>
    <x v="10"/>
    <n v="37"/>
    <n v="0.5"/>
    <n v="0"/>
    <n v="0"/>
    <n v="-0.5"/>
  </r>
  <r>
    <x v="11"/>
    <n v="37"/>
    <n v="0.5"/>
    <n v="0"/>
    <n v="0"/>
    <n v="-0.5"/>
  </r>
  <r>
    <x v="12"/>
    <n v="27"/>
    <n v="5.49"/>
    <n v="27"/>
    <n v="7"/>
    <n v="0.27504553734061926"/>
  </r>
  <r>
    <x v="2"/>
    <n v="27"/>
    <n v="0.4"/>
    <n v="27"/>
    <n v="6"/>
    <n v="5.6"/>
  </r>
  <r>
    <x v="3"/>
    <n v="27"/>
    <n v="0.1"/>
    <n v="32"/>
    <n v="1"/>
    <n v="0.9"/>
  </r>
  <r>
    <x v="4"/>
    <n v="27"/>
    <n v="1"/>
    <n v="0"/>
    <n v="0"/>
    <n v="-1"/>
  </r>
  <r>
    <x v="13"/>
    <n v="28"/>
    <n v="1"/>
    <n v="0"/>
    <n v="0"/>
    <n v="-1"/>
  </r>
  <r>
    <x v="5"/>
    <n v="29"/>
    <n v="2.66"/>
    <n v="0"/>
    <n v="0"/>
    <n v="-2.66"/>
  </r>
  <r>
    <x v="14"/>
    <n v="29"/>
    <n v="0.5"/>
    <n v="0"/>
    <n v="0"/>
    <n v="-0.5"/>
  </r>
  <r>
    <x v="15"/>
    <n v="29"/>
    <n v="0.5"/>
    <n v="0"/>
    <n v="0"/>
    <n v="-0.5"/>
  </r>
  <r>
    <x v="16"/>
    <n v="30"/>
    <n v="1"/>
    <n v="0"/>
    <n v="0"/>
    <n v="-1"/>
  </r>
  <r>
    <x v="17"/>
    <n v="31"/>
    <n v="0.33"/>
    <n v="0"/>
    <n v="0"/>
    <n v="-0.33"/>
  </r>
  <r>
    <x v="9"/>
    <n v="31"/>
    <n v="0.33"/>
    <n v="0"/>
    <n v="0"/>
    <n v="-0.33"/>
  </r>
  <r>
    <x v="11"/>
    <n v="31"/>
    <n v="0.33"/>
    <n v="0"/>
    <n v="0"/>
    <n v="-0.33"/>
  </r>
  <r>
    <x v="18"/>
    <n v="32"/>
    <n v="1.1900000000000002"/>
    <n v="32"/>
    <n v="4"/>
    <n v="2.3613445378151252"/>
  </r>
  <r>
    <x v="5"/>
    <n v="32"/>
    <n v="0.8600000000000001"/>
    <n v="32"/>
    <n v="4"/>
    <n v="3.1399999999999997"/>
  </r>
  <r>
    <x v="16"/>
    <n v="32"/>
    <n v="0.2"/>
    <n v="32"/>
    <n v="4"/>
    <n v="3.8"/>
  </r>
  <r>
    <x v="9"/>
    <n v="33"/>
    <n v="0.33"/>
    <n v="0"/>
    <n v="0"/>
    <n v="-0.33"/>
  </r>
  <r>
    <x v="17"/>
    <n v="33"/>
    <n v="0.33"/>
    <n v="0"/>
    <n v="0"/>
    <n v="-0.33"/>
  </r>
  <r>
    <x v="19"/>
    <n v="33"/>
    <n v="0.33"/>
    <n v="0"/>
    <n v="0"/>
    <n v="-0.33"/>
  </r>
  <r>
    <x v="20"/>
    <n v="1"/>
    <n v="8"/>
    <n v="1"/>
    <n v="35"/>
    <n v="3.375"/>
  </r>
  <r>
    <x v="21"/>
    <n v="1"/>
    <n v="1"/>
    <n v="1"/>
    <n v="2"/>
    <n v="1"/>
  </r>
  <r>
    <x v="22"/>
    <n v="2"/>
    <n v="1"/>
    <n v="3"/>
    <n v="1"/>
    <n v="0"/>
  </r>
  <r>
    <x v="5"/>
    <n v="3"/>
    <n v="5"/>
    <n v="3"/>
    <n v="32"/>
    <n v="27"/>
  </r>
  <r>
    <x v="23"/>
    <n v="3"/>
    <n v="1"/>
    <n v="3"/>
    <n v="2"/>
    <n v="1"/>
  </r>
  <r>
    <x v="24"/>
    <n v="0"/>
    <n v="0"/>
    <n v="3"/>
    <n v="4"/>
    <n v="4"/>
  </r>
  <r>
    <x v="15"/>
    <n v="4"/>
    <n v="1"/>
    <n v="11"/>
    <n v="9"/>
    <n v="8"/>
  </r>
  <r>
    <x v="16"/>
    <n v="6"/>
    <n v="1"/>
    <n v="18"/>
    <n v="18"/>
    <n v="17"/>
  </r>
  <r>
    <x v="17"/>
    <n v="7"/>
    <n v="0"/>
    <n v="35"/>
    <n v="1"/>
    <n v="1"/>
  </r>
  <r>
    <x v="9"/>
    <n v="7"/>
    <n v="1"/>
    <n v="35"/>
    <n v="1"/>
    <n v="0"/>
  </r>
  <r>
    <x v="25"/>
    <n v="8"/>
    <n v="1"/>
    <n v="35"/>
    <n v="1"/>
    <n v="0"/>
  </r>
  <r>
    <x v="26"/>
    <n v="8"/>
    <n v="1"/>
    <n v="0"/>
    <n v="0"/>
    <n v="-1"/>
  </r>
  <r>
    <x v="27"/>
    <n v="5"/>
    <n v="7.5"/>
    <n v="5"/>
    <n v="12.5"/>
    <n v="0.66666666666666663"/>
  </r>
  <r>
    <x v="28"/>
    <n v="5"/>
    <n v="1"/>
    <n v="5"/>
    <n v="1"/>
    <n v="0"/>
  </r>
  <r>
    <x v="29"/>
    <n v="5"/>
    <n v="1"/>
    <n v="6"/>
    <n v="1"/>
    <n v="0"/>
  </r>
  <r>
    <x v="30"/>
    <n v="5"/>
    <n v="1"/>
    <n v="6"/>
    <n v="1"/>
    <n v="0"/>
  </r>
  <r>
    <x v="5"/>
    <n v="6"/>
    <n v="4"/>
    <n v="7"/>
    <n v="9"/>
    <n v="5"/>
  </r>
  <r>
    <x v="14"/>
    <n v="6"/>
    <n v="1"/>
    <n v="7"/>
    <n v="2"/>
    <n v="1"/>
  </r>
  <r>
    <x v="15"/>
    <n v="7"/>
    <n v="1"/>
    <n v="9"/>
    <n v="1"/>
    <n v="0"/>
  </r>
  <r>
    <x v="16"/>
    <n v="8"/>
    <n v="1"/>
    <n v="10"/>
    <n v="3"/>
    <n v="2"/>
  </r>
  <r>
    <x v="31"/>
    <n v="0"/>
    <n v="0"/>
    <n v="13"/>
    <n v="2"/>
    <n v="2"/>
  </r>
  <r>
    <x v="10"/>
    <n v="0"/>
    <n v="0"/>
    <n v="15"/>
    <n v="1"/>
    <n v="1"/>
  </r>
  <r>
    <x v="32"/>
    <n v="9"/>
    <n v="0.5"/>
    <n v="16"/>
    <n v="0.5"/>
    <n v="0"/>
  </r>
  <r>
    <x v="33"/>
    <n v="21"/>
    <n v="4.5"/>
    <n v="21"/>
    <n v="9.5"/>
    <n v="1.1111111111111112"/>
  </r>
  <r>
    <x v="28"/>
    <n v="21"/>
    <n v="1"/>
    <n v="21"/>
    <n v="2"/>
    <n v="1"/>
  </r>
  <r>
    <x v="29"/>
    <n v="22"/>
    <n v="1"/>
    <n v="22"/>
    <n v="1"/>
    <n v="0"/>
  </r>
  <r>
    <x v="30"/>
    <n v="22"/>
    <n v="1"/>
    <n v="22"/>
    <n v="1"/>
    <n v="0"/>
  </r>
  <r>
    <x v="34"/>
    <n v="23"/>
    <n v="1"/>
    <n v="23"/>
    <n v="1"/>
    <n v="0"/>
  </r>
  <r>
    <x v="5"/>
    <n v="23"/>
    <n v="1"/>
    <n v="24"/>
    <n v="5"/>
    <n v="4"/>
  </r>
  <r>
    <x v="16"/>
    <n v="23"/>
    <n v="1"/>
    <n v="24"/>
    <n v="5"/>
    <n v="4"/>
  </r>
  <r>
    <x v="32"/>
    <n v="25"/>
    <n v="0.5"/>
    <n v="25"/>
    <n v="0.5"/>
    <n v="0"/>
  </r>
  <r>
    <x v="35"/>
    <n v="20"/>
    <n v="6"/>
    <n v="20"/>
    <n v="14"/>
    <n v="1.3333333333333333"/>
  </r>
  <r>
    <x v="36"/>
    <n v="20"/>
    <n v="1"/>
    <n v="20"/>
    <n v="2"/>
    <n v="1"/>
  </r>
  <r>
    <x v="37"/>
    <n v="20"/>
    <n v="1"/>
    <n v="20"/>
    <n v="2"/>
    <n v="1"/>
  </r>
  <r>
    <x v="38"/>
    <n v="22"/>
    <n v="1"/>
    <n v="22"/>
    <n v="2"/>
    <n v="1"/>
  </r>
  <r>
    <x v="39"/>
    <n v="22"/>
    <n v="1"/>
    <n v="23"/>
    <n v="1"/>
    <n v="0"/>
  </r>
  <r>
    <x v="40"/>
    <n v="23"/>
    <n v="1"/>
    <n v="24"/>
    <n v="1"/>
    <n v="0"/>
  </r>
  <r>
    <x v="41"/>
    <n v="24"/>
    <n v="1"/>
    <n v="24"/>
    <n v="6"/>
    <n v="5"/>
  </r>
  <r>
    <x v="42"/>
    <n v="24"/>
    <n v="1.25"/>
    <n v="24"/>
    <n v="9.25"/>
    <n v="6.4"/>
  </r>
  <r>
    <x v="43"/>
    <n v="24"/>
    <n v="0.25"/>
    <n v="24"/>
    <n v="1"/>
    <n v="0.75"/>
  </r>
  <r>
    <x v="44"/>
    <n v="24"/>
    <n v="0.25"/>
    <n v="24"/>
    <n v="2"/>
    <n v="1.75"/>
  </r>
  <r>
    <x v="45"/>
    <n v="24"/>
    <n v="0.25"/>
    <n v="24"/>
    <n v="2"/>
    <n v="1.75"/>
  </r>
  <r>
    <x v="46"/>
    <n v="24"/>
    <n v="0.25"/>
    <n v="24"/>
    <n v="4"/>
    <n v="3.75"/>
  </r>
  <r>
    <x v="47"/>
    <n v="26"/>
    <n v="0.25"/>
    <n v="0"/>
    <n v="0.25"/>
    <n v="0"/>
  </r>
  <r>
    <x v="0"/>
    <m/>
    <m/>
    <m/>
    <m/>
    <m/>
  </r>
  <r>
    <x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5">
  <r>
    <x v="0"/>
    <m/>
    <m/>
    <x v="0"/>
    <m/>
    <m/>
    <m/>
    <m/>
    <m/>
    <m/>
    <m/>
    <x v="0"/>
    <x v="0"/>
    <m/>
    <m/>
    <m/>
    <m/>
  </r>
  <r>
    <x v="1"/>
    <s v="Bank Muscat"/>
    <s v="Front Office"/>
    <x v="1"/>
    <s v="New Implementation"/>
    <s v="BAU"/>
    <n v="2054"/>
    <s v="PO/SOW Signed"/>
    <n v="515540"/>
    <s v="Onsite"/>
    <s v="Hybrid"/>
    <x v="1"/>
    <x v="1"/>
    <s v="Execution"/>
    <m/>
    <s v="Corporate LOS - CAD"/>
    <s v="Newgen"/>
  </r>
  <r>
    <x v="2"/>
    <s v="Bank Muscat"/>
    <s v="Digital Channel"/>
    <x v="1"/>
    <s v="Upgrade"/>
    <s v="BAU"/>
    <n v="2054"/>
    <s v="PO/SOW Signed"/>
    <n v="515540"/>
    <s v="Onsite"/>
    <s v="Offshore"/>
    <x v="1"/>
    <x v="1"/>
    <s v="Execution"/>
    <m/>
    <s v="IB Retail &amp; Retail Enterprise"/>
    <s v="Infosys"/>
  </r>
  <r>
    <x v="3"/>
    <s v="Bank Muscat"/>
    <s v="Front Office"/>
    <x v="1"/>
    <s v="Upgrade"/>
    <s v="BAU"/>
    <n v="2054"/>
    <s v="PO/SOW Signed"/>
    <n v="515540"/>
    <s v="Onsite"/>
    <s v="Offshore"/>
    <x v="1"/>
    <x v="1"/>
    <s v="Design"/>
    <m/>
    <s v="Tablet 2.0"/>
    <s v="Newgen"/>
  </r>
  <r>
    <x v="4"/>
    <s v="Bank Muscat"/>
    <s v="Digital Channel"/>
    <x v="1"/>
    <s v="Feature Addition"/>
    <s v="BAU"/>
    <n v="2054"/>
    <s v="PO/SOW Signed"/>
    <n v="515540"/>
    <s v="Onsite"/>
    <s v="Offshore"/>
    <x v="1"/>
    <x v="1"/>
    <s v="Execution"/>
    <m/>
    <s v="IB_ Retail Enterprise and Corporate"/>
    <s v="Infosys"/>
  </r>
  <r>
    <x v="5"/>
    <s v="Bank Muscat"/>
    <s v="Front Office"/>
    <x v="1"/>
    <s v="New Implementation"/>
    <s v="BAU"/>
    <n v="2054"/>
    <s v="PO/SOW Signed"/>
    <n v="515540"/>
    <s v="Onsite"/>
    <s v="Offshore"/>
    <x v="2"/>
    <x v="1"/>
    <s v="Planning"/>
    <m/>
    <s v="Automated Account Opening - iBPS"/>
    <s v="Newgen"/>
  </r>
  <r>
    <x v="6"/>
    <s v="Bank Muscat"/>
    <s v="Front Office"/>
    <x v="1"/>
    <s v="Upgrade"/>
    <s v="BAU"/>
    <n v="2054"/>
    <s v="PO/SOW Signed"/>
    <n v="517613"/>
    <s v="Offshore"/>
    <s v="Offshore"/>
    <x v="1"/>
    <x v="1"/>
    <s v="Design"/>
    <m/>
    <s v="Retail, RLOS and Corporate - iBPS"/>
    <s v="Newgen"/>
  </r>
  <r>
    <x v="7"/>
    <s v="Bank Muscat"/>
    <s v="IT Support"/>
    <x v="2"/>
    <s v="Upgrade"/>
    <s v="BAU"/>
    <n v="2054"/>
    <s v="PO/SOW Signed"/>
    <n v="515540"/>
    <s v="Onsite"/>
    <s v="Offshore"/>
    <x v="1"/>
    <x v="2"/>
    <s v="Execution"/>
    <m/>
    <s v="Privilege Access Management"/>
    <s v="Arconnet"/>
  </r>
  <r>
    <x v="8"/>
    <s v="Bank Muscat"/>
    <s v="Back Office"/>
    <x v="2"/>
    <s v="Upgrade"/>
    <s v="BAU"/>
    <n v="2054"/>
    <s v="PO/SOW Signed"/>
    <n v="515540"/>
    <s v="Onsite"/>
    <s v="Offshore"/>
    <x v="1"/>
    <x v="2"/>
    <s v="Planning"/>
    <m/>
    <s v="AML"/>
    <m/>
  </r>
  <r>
    <x v="9"/>
    <s v="Bank Muscat"/>
    <s v="Back Office"/>
    <x v="2"/>
    <s v="Upgrade"/>
    <s v="BAU"/>
    <n v="2054"/>
    <s v="PO/SOW Signed"/>
    <n v="515540"/>
    <s v="Onsite"/>
    <s v="Offshore"/>
    <x v="1"/>
    <x v="2"/>
    <s v="Design"/>
    <m/>
    <s v="Electronic Cheque Clearing"/>
    <m/>
  </r>
  <r>
    <x v="10"/>
    <s v="Bank Muscat"/>
    <s v="Digital Channel"/>
    <x v="1"/>
    <s v="Upgrade"/>
    <s v="BAU"/>
    <n v="2054"/>
    <s v="PO/SOW Signed"/>
    <n v="515540"/>
    <s v="Offshore"/>
    <s v="Offshore"/>
    <x v="3"/>
    <x v="1"/>
    <s v="Execution"/>
    <m/>
    <s v="IB Retail &amp; Retail Enterprise"/>
    <s v="Infosys"/>
  </r>
  <r>
    <x v="11"/>
    <s v="Bank Muscat"/>
    <s v="IT Support"/>
    <x v="1"/>
    <s v="New Implementation"/>
    <s v="BAU"/>
    <n v="2054"/>
    <s v="PO/SOW Signed"/>
    <n v="515540"/>
    <s v="Offshore"/>
    <s v="Offshore"/>
    <x v="3"/>
    <x v="1"/>
    <s v="Completed"/>
    <m/>
    <s v="Privilege Access Management"/>
    <s v="Arconnet"/>
  </r>
  <r>
    <x v="12"/>
    <s v="Bank Muscat"/>
    <s v="Digital Channel"/>
    <x v="1"/>
    <s v="Feature Addition"/>
    <s v="BAU"/>
    <n v="2054"/>
    <s v="PO/SOW Signed"/>
    <n v="515540"/>
    <s v="Offshore"/>
    <s v="Offshore"/>
    <x v="3"/>
    <x v="1"/>
    <s v="Completed"/>
    <m/>
    <s v="IB Retail &amp; Retail Enterprise"/>
    <s v="Infosys"/>
  </r>
  <r>
    <x v="13"/>
    <s v="Bank Muscat"/>
    <s v="Back Office"/>
    <x v="1"/>
    <s v="Upgrade"/>
    <s v="BAU"/>
    <n v="2054"/>
    <s v="PO/SOW Signed"/>
    <n v="515540"/>
    <s v="Offshore"/>
    <s v="Offshore"/>
    <x v="3"/>
    <x v="1"/>
    <s v="Completed"/>
    <m/>
    <s v="O2MS 8.6 - Batch Jobs"/>
    <s v="Newgen"/>
  </r>
  <r>
    <x v="14"/>
    <s v="Bank Muscat"/>
    <s v="Digital Channel"/>
    <x v="1"/>
    <s v="New Implementation"/>
    <s v="BAU"/>
    <n v="2054"/>
    <s v="PO/SOW Signed"/>
    <n v="515540"/>
    <s v="Onsite"/>
    <s v="Hybrid"/>
    <x v="3"/>
    <x v="3"/>
    <s v="Completed"/>
    <m/>
    <s v="Finacle OCH - IB, MBS, MBR"/>
    <s v="Infosys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6">
  <r>
    <m/>
    <m/>
    <x v="0"/>
    <x v="0"/>
    <x v="0"/>
    <m/>
    <m/>
    <m/>
    <m/>
    <m/>
    <m/>
    <m/>
    <m/>
    <m/>
    <m/>
    <x v="0"/>
    <x v="0"/>
  </r>
  <r>
    <s v="Corporate LOS - CAD Workflow 1"/>
    <s v="Bank Muscat"/>
    <x v="1"/>
    <x v="1"/>
    <x v="1"/>
    <s v="BAU"/>
    <n v="2054"/>
    <s v="PO/SOW Signed"/>
    <n v="515540"/>
    <s v="Onsite"/>
    <s v="Hybrid"/>
    <s v="In-Progress"/>
    <s v="Mohan"/>
    <s v="Execution"/>
    <m/>
    <x v="1"/>
    <x v="1"/>
  </r>
  <r>
    <s v="IB2MB4-CEPS_MFP8"/>
    <s v="Bank Muscat"/>
    <x v="2"/>
    <x v="1"/>
    <x v="2"/>
    <s v="BAU"/>
    <n v="2054"/>
    <s v="PO/SOW Signed"/>
    <n v="515540"/>
    <s v="Onsite"/>
    <s v="Offshore"/>
    <s v="In-Progress"/>
    <s v="Mohan"/>
    <s v="Execution"/>
    <m/>
    <x v="2"/>
    <x v="2"/>
  </r>
  <r>
    <s v="Tablet 2.0"/>
    <s v="Bank Muscat"/>
    <x v="1"/>
    <x v="1"/>
    <x v="2"/>
    <s v="BAU"/>
    <n v="2054"/>
    <s v="PO/SOW Signed"/>
    <n v="515540"/>
    <s v="Onsite"/>
    <s v="Offshore"/>
    <s v="In-Progress"/>
    <s v="Mohan"/>
    <s v="Design"/>
    <m/>
    <x v="3"/>
    <x v="1"/>
  </r>
  <r>
    <s v="12 Months statement"/>
    <s v="Bank Muscat"/>
    <x v="2"/>
    <x v="1"/>
    <x v="3"/>
    <s v="BAU"/>
    <n v="2054"/>
    <s v="PO/SOW Signed"/>
    <n v="515540"/>
    <s v="Onsite"/>
    <s v="Offshore"/>
    <s v="In-Progress"/>
    <s v="Mohan"/>
    <s v="Execution"/>
    <m/>
    <x v="4"/>
    <x v="2"/>
  </r>
  <r>
    <s v="Automated Account Opening"/>
    <s v="Bank Muscat"/>
    <x v="1"/>
    <x v="1"/>
    <x v="1"/>
    <s v="BAU"/>
    <n v="2054"/>
    <s v="PO/SOW Signed"/>
    <n v="515540"/>
    <s v="Onsite"/>
    <s v="Offshore"/>
    <s v="On-Hold"/>
    <s v="Mohan"/>
    <s v="Planning"/>
    <m/>
    <x v="5"/>
    <x v="1"/>
  </r>
  <r>
    <s v="Omniflow to iBPS upgrade"/>
    <s v="Bank Muscat"/>
    <x v="1"/>
    <x v="1"/>
    <x v="2"/>
    <s v="BAU"/>
    <n v="2054"/>
    <s v="PO/SOW Signed"/>
    <n v="517613"/>
    <s v="Offshore"/>
    <s v="Offshore"/>
    <s v="In-Progress"/>
    <s v="Mohan"/>
    <s v="Design"/>
    <m/>
    <x v="6"/>
    <x v="1"/>
  </r>
  <r>
    <s v="PAM - Phase 2"/>
    <s v="Bank Muscat"/>
    <x v="3"/>
    <x v="2"/>
    <x v="2"/>
    <s v="BAU"/>
    <n v="2054"/>
    <s v="PO/SOW Signed"/>
    <n v="515540"/>
    <s v="Onsite"/>
    <s v="Offshore"/>
    <s v="In-Progress"/>
    <s v="Vimal"/>
    <s v="Execution"/>
    <m/>
    <x v="7"/>
    <x v="3"/>
  </r>
  <r>
    <s v="AML"/>
    <s v="Bank Muscat"/>
    <x v="4"/>
    <x v="2"/>
    <x v="2"/>
    <s v="BAU"/>
    <n v="2054"/>
    <s v="PO/SOW Signed"/>
    <n v="515540"/>
    <s v="Onsite"/>
    <s v="Offshore"/>
    <s v="In-Progress"/>
    <s v="Vimal"/>
    <s v="Planning"/>
    <m/>
    <x v="8"/>
    <x v="4"/>
  </r>
  <r>
    <s v="ECC - DB Upgrade"/>
    <s v="Bank Muscat"/>
    <x v="4"/>
    <x v="2"/>
    <x v="2"/>
    <s v="BAU"/>
    <n v="2054"/>
    <s v="PO/SOW Signed"/>
    <n v="515540"/>
    <s v="Onsite"/>
    <s v="Offshore"/>
    <s v="In-Progress"/>
    <s v="Vimal"/>
    <s v="Design"/>
    <m/>
    <x v="9"/>
    <x v="5"/>
  </r>
  <r>
    <s v="IB2MB4 - Phase II - Sprint 2"/>
    <s v="Bank Muscat"/>
    <x v="2"/>
    <x v="1"/>
    <x v="3"/>
    <s v="BAU"/>
    <n v="2054"/>
    <s v="PO/SOW Signed"/>
    <n v="515540"/>
    <s v="Onsite"/>
    <s v="Offshore"/>
    <s v="In-Progress"/>
    <s v="Vimal"/>
    <s v="Design"/>
    <m/>
    <x v="2"/>
    <x v="2"/>
  </r>
  <r>
    <s v="IB2MB4-ExaData"/>
    <s v="Bank Muscat"/>
    <x v="2"/>
    <x v="1"/>
    <x v="2"/>
    <s v="BAU"/>
    <n v="2054"/>
    <s v="PO/SOW Signed"/>
    <n v="515540"/>
    <s v="Offshore"/>
    <s v="Offshore"/>
    <s v="Completed"/>
    <s v="Mohan"/>
    <s v="Execution"/>
    <m/>
    <x v="2"/>
    <x v="2"/>
  </r>
  <r>
    <s v="PAM"/>
    <s v="Bank Muscat"/>
    <x v="3"/>
    <x v="1"/>
    <x v="1"/>
    <s v="BAU"/>
    <n v="2054"/>
    <s v="PO/SOW Signed"/>
    <n v="515540"/>
    <s v="Offshore"/>
    <s v="Offshore"/>
    <s v="Completed"/>
    <s v="Mohan"/>
    <s v="Completed"/>
    <m/>
    <x v="7"/>
    <x v="3"/>
  </r>
  <r>
    <s v="IB2MB4 - Phase II - Sprint 1"/>
    <s v="Bank Muscat"/>
    <x v="2"/>
    <x v="1"/>
    <x v="3"/>
    <s v="BAU"/>
    <n v="2054"/>
    <s v="PO/SOW Signed"/>
    <n v="515540"/>
    <s v="Offshore"/>
    <s v="Offshore"/>
    <s v="Completed"/>
    <s v="Mohan"/>
    <s v="Completed"/>
    <m/>
    <x v="2"/>
    <x v="2"/>
  </r>
  <r>
    <s v="O2MS"/>
    <s v="Bank Muscat"/>
    <x v="4"/>
    <x v="1"/>
    <x v="2"/>
    <s v="BAU"/>
    <n v="2054"/>
    <s v="PO/SOW Signed"/>
    <n v="515540"/>
    <s v="Offshore"/>
    <s v="Offshore"/>
    <s v="Completed"/>
    <s v="Mohan"/>
    <s v="Completed"/>
    <m/>
    <x v="10"/>
    <x v="1"/>
  </r>
  <r>
    <s v="IB Parallel Load to MBS &amp; MBR"/>
    <s v="Bank Muscat"/>
    <x v="2"/>
    <x v="1"/>
    <x v="1"/>
    <s v="BAU"/>
    <n v="2054"/>
    <s v="PO/SOW Signed"/>
    <n v="515540"/>
    <s v="Onsite"/>
    <s v="Hybrid"/>
    <s v="Completed"/>
    <s v="Ashlin"/>
    <s v="Completed"/>
    <m/>
    <x v="11"/>
    <x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8">
  <r>
    <x v="0"/>
    <x v="0"/>
    <s v="Mar"/>
    <n v="12"/>
    <n v="0"/>
    <n v="0"/>
    <n v="0"/>
    <n v="0"/>
    <n v="0"/>
  </r>
  <r>
    <x v="0"/>
    <x v="0"/>
    <s v="Apr"/>
    <n v="0"/>
    <n v="5"/>
    <n v="0"/>
    <n v="0"/>
    <n v="0"/>
    <n v="0"/>
  </r>
  <r>
    <x v="0"/>
    <x v="0"/>
    <s v="May"/>
    <n v="0"/>
    <n v="21"/>
    <n v="0"/>
    <n v="0"/>
    <n v="0"/>
    <n v="0"/>
  </r>
  <r>
    <x v="0"/>
    <x v="0"/>
    <s v="Jun"/>
    <n v="0"/>
    <n v="22"/>
    <n v="0"/>
    <n v="0"/>
    <n v="0"/>
    <n v="0"/>
  </r>
  <r>
    <x v="0"/>
    <x v="0"/>
    <s v="Jul"/>
    <n v="0"/>
    <n v="22"/>
    <n v="0"/>
    <n v="0"/>
    <n v="0"/>
    <n v="0"/>
  </r>
  <r>
    <x v="1"/>
    <x v="0"/>
    <s v="Aug"/>
    <n v="0"/>
    <n v="20"/>
    <n v="0"/>
    <n v="0"/>
    <n v="0"/>
    <n v="2"/>
  </r>
  <r>
    <x v="1"/>
    <x v="0"/>
    <s v="Sep"/>
    <n v="0"/>
    <n v="21"/>
    <n v="0"/>
    <n v="0"/>
    <n v="0"/>
    <n v="1"/>
  </r>
  <r>
    <x v="1"/>
    <x v="0"/>
    <s v="Oct"/>
    <n v="0"/>
    <n v="17"/>
    <n v="0"/>
    <n v="2"/>
    <n v="0"/>
    <n v="2"/>
  </r>
  <r>
    <x v="1"/>
    <x v="0"/>
    <s v="Nov"/>
    <n v="0"/>
    <n v="20"/>
    <n v="0"/>
    <n v="0"/>
    <n v="0"/>
    <n v="2"/>
  </r>
  <r>
    <x v="1"/>
    <x v="0"/>
    <s v="Dec"/>
    <n v="0"/>
    <n v="17"/>
    <n v="0"/>
    <n v="6"/>
    <n v="0"/>
    <n v="0"/>
  </r>
  <r>
    <x v="1"/>
    <x v="1"/>
    <s v="Jan"/>
    <n v="0"/>
    <n v="20"/>
    <n v="0"/>
    <n v="1"/>
    <n v="0"/>
    <n v="0"/>
  </r>
  <r>
    <x v="2"/>
    <x v="1"/>
    <s v="Jan"/>
    <n v="0"/>
    <n v="21"/>
    <n v="0"/>
    <n v="1"/>
    <n v="0"/>
    <n v="0"/>
  </r>
  <r>
    <x v="1"/>
    <x v="1"/>
    <s v="Feb"/>
    <n v="0"/>
    <n v="20"/>
    <n v="0"/>
    <n v="0"/>
    <n v="0"/>
    <n v="0"/>
  </r>
  <r>
    <x v="2"/>
    <x v="1"/>
    <s v="Feb"/>
    <n v="0"/>
    <n v="19"/>
    <n v="0"/>
    <n v="1"/>
    <n v="0"/>
    <n v="0"/>
  </r>
  <r>
    <x v="3"/>
    <x v="2"/>
    <m/>
    <m/>
    <m/>
    <m/>
    <m/>
    <m/>
    <m/>
  </r>
  <r>
    <x v="3"/>
    <x v="2"/>
    <m/>
    <m/>
    <m/>
    <m/>
    <m/>
    <m/>
    <m/>
  </r>
  <r>
    <x v="3"/>
    <x v="2"/>
    <m/>
    <m/>
    <m/>
    <m/>
    <m/>
    <m/>
    <m/>
  </r>
  <r>
    <x v="3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outline="1" outlineData="1" compactData="0" multipleFieldFilters="0" rowHeaderCaption="Cluster">
  <location ref="A3:H8" firstHeaderRow="1" firstDataRow="3" firstDataCol="1"/>
  <pivotFields count="12"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3">
        <item x="1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3">
    <i>
      <x/>
    </i>
    <i>
      <x v="1"/>
    </i>
    <i t="grand">
      <x/>
    </i>
  </rowItems>
  <colFields count="2">
    <field x="6"/>
    <field x="7"/>
  </colFields>
  <colItems count="7">
    <i>
      <x/>
      <x/>
    </i>
    <i r="1">
      <x v="1"/>
    </i>
    <i r="1">
      <x v="2"/>
    </i>
    <i>
      <x v="1"/>
      <x/>
    </i>
    <i r="1">
      <x v="1"/>
    </i>
    <i r="1">
      <x v="2"/>
    </i>
    <i t="grand">
      <x/>
    </i>
  </colItems>
  <dataFields count="1">
    <dataField name="Count of Status" fld="7" subtotal="count" baseField="0" baseItem="0"/>
  </dataFields>
  <formats count="138">
    <format dxfId="253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252">
      <pivotArea outline="0" collapsedLevelsAreSubtotals="1" fieldPosition="0">
        <references count="2">
          <reference field="6" count="1" selected="0">
            <x v="1"/>
          </reference>
          <reference field="7" count="3" selected="0">
            <x v="0"/>
            <x v="1"/>
            <x v="2"/>
          </reference>
        </references>
      </pivotArea>
    </format>
    <format dxfId="251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250">
      <pivotArea dataOnly="0" labelOnly="1" fieldPosition="0">
        <references count="1">
          <reference field="6" count="1" defaultSubtotal="1">
            <x v="0"/>
          </reference>
        </references>
      </pivotArea>
    </format>
    <format dxfId="249">
      <pivotArea dataOnly="0" labelOnly="1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48">
      <pivotArea dataOnly="0" labelOnly="1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47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246">
      <pivotArea outline="0" collapsedLevelsAreSubtotals="1" fieldPosition="0">
        <references count="2">
          <reference field="6" count="1" selected="0">
            <x v="1"/>
          </reference>
          <reference field="7" count="3" selected="0">
            <x v="0"/>
            <x v="1"/>
            <x v="2"/>
          </reference>
        </references>
      </pivotArea>
    </format>
    <format dxfId="245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244">
      <pivotArea dataOnly="0" labelOnly="1" fieldPosition="0">
        <references count="1">
          <reference field="6" count="1" defaultSubtotal="1">
            <x v="0"/>
          </reference>
        </references>
      </pivotArea>
    </format>
    <format dxfId="243">
      <pivotArea dataOnly="0" labelOnly="1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42">
      <pivotArea dataOnly="0" labelOnly="1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41">
      <pivotArea outline="0" collapsedLevelsAreSubtotals="1" fieldPosition="0"/>
    </format>
    <format dxfId="240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239">
      <pivotArea dataOnly="0" labelOnly="1" fieldPosition="0">
        <references count="1">
          <reference field="6" count="2" defaultSubtotal="1">
            <x v="0"/>
            <x v="1"/>
          </reference>
        </references>
      </pivotArea>
    </format>
    <format dxfId="238">
      <pivotArea dataOnly="0" labelOnly="1" grandCol="1" outline="0" fieldPosition="0"/>
    </format>
    <format dxfId="237">
      <pivotArea dataOnly="0" labelOnly="1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36">
      <pivotArea dataOnly="0" labelOnly="1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233">
      <pivotArea dataOnly="0" labelOnly="1" fieldPosition="0">
        <references count="1">
          <reference field="6" count="2" defaultSubtotal="1">
            <x v="0"/>
            <x v="1"/>
          </reference>
        </references>
      </pivotArea>
    </format>
    <format dxfId="232">
      <pivotArea dataOnly="0" labelOnly="1" grandCol="1" outline="0" fieldPosition="0"/>
    </format>
    <format dxfId="231">
      <pivotArea dataOnly="0" labelOnly="1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30">
      <pivotArea dataOnly="0" labelOnly="1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29">
      <pivotArea type="origin" dataOnly="0" labelOnly="1" outline="0" offset="A2" fieldPosition="0"/>
    </format>
    <format dxfId="228">
      <pivotArea field="4" type="button" dataOnly="0" labelOnly="1" outline="0" axis="axisRow" fieldPosition="0"/>
    </format>
    <format dxfId="227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26">
      <pivotArea dataOnly="0" labelOnly="1" grandCol="1" outline="0" fieldPosition="0"/>
    </format>
    <format dxfId="225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23">
      <pivotArea grandRow="1" outline="0" collapsedLevelsAreSubtotals="1" fieldPosition="0"/>
    </format>
    <format dxfId="222">
      <pivotArea dataOnly="0" labelOnly="1" grandRow="1" outline="0" fieldPosition="0"/>
    </format>
    <format dxfId="221">
      <pivotArea grandRow="1" outline="0" collapsedLevelsAreSubtotals="1" fieldPosition="0"/>
    </format>
    <format dxfId="220">
      <pivotArea dataOnly="0" labelOnly="1" grandRow="1" outline="0" fieldPosition="0"/>
    </format>
    <format dxfId="219">
      <pivotArea outline="0" collapsedLevelsAreSubtotals="1" fieldPosition="0"/>
    </format>
    <format dxfId="218">
      <pivotArea type="origin" dataOnly="0" labelOnly="1" outline="0" offset="A2" fieldPosition="0"/>
    </format>
    <format dxfId="217">
      <pivotArea field="4" type="button" dataOnly="0" labelOnly="1" outline="0" axis="axisRow" fieldPosition="0"/>
    </format>
    <format dxfId="216">
      <pivotArea dataOnly="0" labelOnly="1" outline="0" fieldPosition="0">
        <references count="1">
          <reference field="4" count="0"/>
        </references>
      </pivotArea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13">
      <pivotArea dataOnly="0" labelOnly="1" grandCol="1" outline="0" fieldPosition="0"/>
    </format>
    <format dxfId="212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10">
      <pivotArea outline="0" collapsedLevelsAreSubtotals="1" fieldPosition="0"/>
    </format>
    <format dxfId="209">
      <pivotArea type="origin" dataOnly="0" labelOnly="1" outline="0" offset="A2" fieldPosition="0"/>
    </format>
    <format dxfId="208">
      <pivotArea field="4" type="button" dataOnly="0" labelOnly="1" outline="0" axis="axisRow" fieldPosition="0"/>
    </format>
    <format dxfId="207">
      <pivotArea dataOnly="0" labelOnly="1" outline="0" fieldPosition="0">
        <references count="1">
          <reference field="4" count="0"/>
        </references>
      </pivotArea>
    </format>
    <format dxfId="206">
      <pivotArea dataOnly="0" labelOnly="1" grandRow="1" outline="0" fieldPosition="0"/>
    </format>
    <format dxfId="20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04">
      <pivotArea dataOnly="0" labelOnly="1" grandCol="1" outline="0" fieldPosition="0"/>
    </format>
    <format dxfId="203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202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type="origin" dataOnly="0" labelOnly="1" outline="0" fieldPosition="0"/>
    </format>
    <format dxfId="198">
      <pivotArea field="6" type="button" dataOnly="0" labelOnly="1" outline="0" axis="axisCol" fieldPosition="0"/>
    </format>
    <format dxfId="197">
      <pivotArea field="7" type="button" dataOnly="0" labelOnly="1" outline="0" axis="axisCol" fieldPosition="1"/>
    </format>
    <format dxfId="196">
      <pivotArea type="topRight" dataOnly="0" labelOnly="1" outline="0" fieldPosition="0"/>
    </format>
    <format dxfId="195">
      <pivotArea field="4" type="button" dataOnly="0" labelOnly="1" outline="0" axis="axisRow" fieldPosition="0"/>
    </format>
    <format dxfId="194">
      <pivotArea dataOnly="0" labelOnly="1" outline="0" fieldPosition="0">
        <references count="1">
          <reference field="4" count="0"/>
        </references>
      </pivotArea>
    </format>
    <format dxfId="193">
      <pivotArea dataOnly="0" labelOnly="1" grandRow="1" outline="0" fieldPosition="0"/>
    </format>
    <format dxfId="192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91">
      <pivotArea dataOnly="0" labelOnly="1" grandCol="1" outline="0" fieldPosition="0"/>
    </format>
    <format dxfId="190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type="origin" dataOnly="0" labelOnly="1" outline="0" fieldPosition="0"/>
    </format>
    <format dxfId="185">
      <pivotArea field="6" type="button" dataOnly="0" labelOnly="1" outline="0" axis="axisCol" fieldPosition="0"/>
    </format>
    <format dxfId="184">
      <pivotArea field="7" type="button" dataOnly="0" labelOnly="1" outline="0" axis="axisCol" fieldPosition="1"/>
    </format>
    <format dxfId="183">
      <pivotArea type="topRight" dataOnly="0" labelOnly="1" outline="0" fieldPosition="0"/>
    </format>
    <format dxfId="182">
      <pivotArea field="4" type="button" dataOnly="0" labelOnly="1" outline="0" axis="axisRow" fieldPosition="0"/>
    </format>
    <format dxfId="181">
      <pivotArea dataOnly="0" labelOnly="1" outline="0" fieldPosition="0">
        <references count="1">
          <reference field="4" count="0"/>
        </references>
      </pivotArea>
    </format>
    <format dxfId="180">
      <pivotArea dataOnly="0" labelOnly="1" grandRow="1" outline="0" fieldPosition="0"/>
    </format>
    <format dxfId="179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78">
      <pivotArea dataOnly="0" labelOnly="1" grandCol="1" outline="0" fieldPosition="0"/>
    </format>
    <format dxfId="177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175">
      <pivotArea field="4" type="button" dataOnly="0" labelOnly="1" outline="0" axis="axisRow" fieldPosition="0"/>
    </format>
    <format dxfId="174">
      <pivotArea dataOnly="0" labelOnly="1" outline="0" fieldPosition="0">
        <references count="1">
          <reference field="4" count="0"/>
        </references>
      </pivotArea>
    </format>
    <format dxfId="173">
      <pivotArea dataOnly="0" labelOnly="1" grandRow="1" outline="0" fieldPosition="0"/>
    </format>
    <format dxfId="172">
      <pivotArea field="4" type="button" dataOnly="0" labelOnly="1" outline="0" axis="axisRow" fieldPosition="0"/>
    </format>
    <format dxfId="171">
      <pivotArea dataOnly="0" labelOnly="1" outline="0" fieldPosition="0">
        <references count="1">
          <reference field="4" count="0"/>
        </references>
      </pivotArea>
    </format>
    <format dxfId="170">
      <pivotArea dataOnly="0" labelOnly="1" grandRow="1" outline="0" fieldPosition="0"/>
    </format>
    <format dxfId="169">
      <pivotArea collapsedLevelsAreSubtotals="1" fieldPosition="0">
        <references count="3">
          <reference field="4" count="0"/>
          <reference field="6" count="1" selected="0">
            <x v="0"/>
          </reference>
          <reference field="7" count="1" selected="0">
            <x v="2"/>
          </reference>
        </references>
      </pivotArea>
    </format>
    <format dxfId="168">
      <pivotArea collapsedLevelsAreSubtotals="1" fieldPosition="0">
        <references count="3">
          <reference field="4" count="0"/>
          <reference field="6" count="1" selected="0">
            <x v="1"/>
          </reference>
          <reference field="7" count="1" selected="0">
            <x v="2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6" type="button" dataOnly="0" labelOnly="1" outline="0" axis="axisCol" fieldPosition="0"/>
    </format>
    <format dxfId="163">
      <pivotArea field="7" type="button" dataOnly="0" labelOnly="1" outline="0" axis="axisCol" fieldPosition="1"/>
    </format>
    <format dxfId="162">
      <pivotArea type="topRight" dataOnly="0" labelOnly="1" outline="0" fieldPosition="0"/>
    </format>
    <format dxfId="161">
      <pivotArea field="4" type="button" dataOnly="0" labelOnly="1" outline="0" axis="axisRow" fieldPosition="0"/>
    </format>
    <format dxfId="160">
      <pivotArea dataOnly="0" labelOnly="1" outline="0" fieldPosition="0">
        <references count="1">
          <reference field="4" count="0"/>
        </references>
      </pivotArea>
    </format>
    <format dxfId="159">
      <pivotArea dataOnly="0" labelOnly="1" grandRow="1" outline="0" fieldPosition="0"/>
    </format>
    <format dxfId="158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57">
      <pivotArea dataOnly="0" labelOnly="1" grandCol="1" outline="0" fieldPosition="0"/>
    </format>
    <format dxfId="156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type="origin" dataOnly="0" labelOnly="1" outline="0" fieldPosition="0"/>
    </format>
    <format dxfId="151">
      <pivotArea field="6" type="button" dataOnly="0" labelOnly="1" outline="0" axis="axisCol" fieldPosition="0"/>
    </format>
    <format dxfId="150">
      <pivotArea field="7" type="button" dataOnly="0" labelOnly="1" outline="0" axis="axisCol" fieldPosition="1"/>
    </format>
    <format dxfId="149">
      <pivotArea type="topRight" dataOnly="0" labelOnly="1" outline="0" fieldPosition="0"/>
    </format>
    <format dxfId="148">
      <pivotArea field="4" type="button" dataOnly="0" labelOnly="1" outline="0" axis="axisRow" fieldPosition="0"/>
    </format>
    <format dxfId="147">
      <pivotArea dataOnly="0" labelOnly="1" outline="0" fieldPosition="0">
        <references count="1">
          <reference field="4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44">
      <pivotArea dataOnly="0" labelOnly="1" grandCol="1" outline="0" fieldPosition="0"/>
    </format>
    <format dxfId="143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42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type="origin" dataOnly="0" labelOnly="1" outline="0" fieldPosition="0"/>
    </format>
    <format dxfId="138">
      <pivotArea field="6" type="button" dataOnly="0" labelOnly="1" outline="0" axis="axisCol" fieldPosition="0"/>
    </format>
    <format dxfId="137">
      <pivotArea field="7" type="button" dataOnly="0" labelOnly="1" outline="0" axis="axisCol" fieldPosition="1"/>
    </format>
    <format dxfId="136">
      <pivotArea type="topRight" dataOnly="0" labelOnly="1" outline="0" fieldPosition="0"/>
    </format>
    <format dxfId="135">
      <pivotArea field="4" type="button" dataOnly="0" labelOnly="1" outline="0" axis="axisRow" fieldPosition="0"/>
    </format>
    <format dxfId="134">
      <pivotArea dataOnly="0" labelOnly="1" outline="0" fieldPosition="0">
        <references count="1">
          <reference field="4" count="0"/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31">
      <pivotArea dataOnly="0" labelOnly="1" grandCol="1" outline="0" fieldPosition="0"/>
    </format>
    <format dxfId="130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29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type="origin" dataOnly="0" labelOnly="1" outline="0" fieldPosition="0"/>
    </format>
    <format dxfId="125">
      <pivotArea field="6" type="button" dataOnly="0" labelOnly="1" outline="0" axis="axisCol" fieldPosition="0"/>
    </format>
    <format dxfId="124">
      <pivotArea field="7" type="button" dataOnly="0" labelOnly="1" outline="0" axis="axisCol" fieldPosition="1"/>
    </format>
    <format dxfId="123">
      <pivotArea type="topRight" dataOnly="0" labelOnly="1" outline="0" fieldPosition="0"/>
    </format>
    <format dxfId="122">
      <pivotArea field="4" type="button" dataOnly="0" labelOnly="1" outline="0" axis="axisRow" fieldPosition="0"/>
    </format>
    <format dxfId="121">
      <pivotArea dataOnly="0" labelOnly="1" outline="0" fieldPosition="0">
        <references count="1">
          <reference field="4" count="0"/>
        </references>
      </pivotArea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118">
      <pivotArea dataOnly="0" labelOnly="1" grandCol="1" outline="0" fieldPosition="0"/>
    </format>
    <format dxfId="117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</formats>
  <pivotTableStyleInfo name="PivotStyleMedium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outline="1" outlineData="1" compactData="0" multipleFieldFilters="0">
  <location ref="A19:D23" firstHeaderRow="1" firstDataRow="2" firstDataCol="1" rowPageCount="1" colPageCount="1"/>
  <pivotFields count="18">
    <pivotField compact="0" showAll="0" defaultSubtotal="0"/>
    <pivotField compact="0" showAll="0" defaultSubtotal="0"/>
    <pivotField compact="0" showAll="0" defaultSubtotal="0"/>
    <pivotField compact="0" showAll="0" defaultSubtotal="0"/>
    <pivotField axis="axisRow" compact="0" showAll="0" defaultSubtotal="0">
      <items count="3">
        <item x="1"/>
        <item x="2"/>
        <item h="1" x="0"/>
      </items>
    </pivotField>
    <pivotField compact="0" showAll="0" defaultSubtotal="0"/>
    <pivotField axis="axisCol" compact="0" showAll="0" defaultSubtotal="0">
      <items count="3">
        <item x="1"/>
        <item x="2"/>
        <item x="0"/>
      </items>
    </pivotField>
    <pivotField axis="axisPage" compact="0" multipleItemSelectionAllowed="1" showAll="0" defaultSubtotal="0">
      <items count="4">
        <item h="1" x="3"/>
        <item h="1" x="2"/>
        <item x="1"/>
        <item h="1" x="0"/>
      </items>
    </pivotField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showAll="0" defaultSubtotal="0"/>
  </pivotFields>
  <rowFields count="1">
    <field x="4"/>
  </rowFields>
  <rowItems count="3">
    <i>
      <x/>
    </i>
    <i>
      <x v="1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1">
    <pageField fld="7" hier="-1"/>
  </pageFields>
  <dataFields count="1">
    <dataField name="Sum of Projected GM" fld="17" baseField="4" baseItem="0" numFmtId="166"/>
  </dataFields>
  <formats count="107">
    <format dxfId="360">
      <pivotArea outline="0" collapsedLevelsAreSubtotals="1" fieldPosition="0"/>
    </format>
    <format dxfId="359">
      <pivotArea outline="0" collapsedLevelsAreSubtotals="1" fieldPosition="0"/>
    </format>
    <format dxfId="358">
      <pivotArea outline="0" collapsedLevelsAreSubtotals="1" fieldPosition="0"/>
    </format>
    <format dxfId="357">
      <pivotArea type="all" dataOnly="0" outline="0" fieldPosition="0"/>
    </format>
    <format dxfId="356">
      <pivotArea outline="0" collapsedLevelsAreSubtotals="1" fieldPosition="0"/>
    </format>
    <format dxfId="355">
      <pivotArea type="origin" dataOnly="0" labelOnly="1" outline="0" fieldPosition="0"/>
    </format>
    <format dxfId="354">
      <pivotArea field="6" type="button" dataOnly="0" labelOnly="1" outline="0" axis="axisCol" fieldPosition="0"/>
    </format>
    <format dxfId="353">
      <pivotArea type="topRight" dataOnly="0" labelOnly="1" outline="0" fieldPosition="0"/>
    </format>
    <format dxfId="352">
      <pivotArea field="4" type="button" dataOnly="0" labelOnly="1" outline="0" axis="axisRow" fieldPosition="0"/>
    </format>
    <format dxfId="351">
      <pivotArea dataOnly="0" labelOnly="1" outline="0" fieldPosition="0">
        <references count="1">
          <reference field="4" count="0"/>
        </references>
      </pivotArea>
    </format>
    <format dxfId="350">
      <pivotArea dataOnly="0" labelOnly="1" grandRow="1" outline="0" fieldPosition="0"/>
    </format>
    <format dxfId="349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48">
      <pivotArea dataOnly="0" labelOnly="1" grandCol="1" outline="0" fieldPosition="0"/>
    </format>
    <format dxfId="347">
      <pivotArea type="all" dataOnly="0" outline="0" fieldPosition="0"/>
    </format>
    <format dxfId="346">
      <pivotArea outline="0" collapsedLevelsAreSubtotals="1" fieldPosition="0"/>
    </format>
    <format dxfId="345">
      <pivotArea type="origin" dataOnly="0" labelOnly="1" outline="0" fieldPosition="0"/>
    </format>
    <format dxfId="344">
      <pivotArea field="6" type="button" dataOnly="0" labelOnly="1" outline="0" axis="axisCol" fieldPosition="0"/>
    </format>
    <format dxfId="343">
      <pivotArea type="topRight" dataOnly="0" labelOnly="1" outline="0" fieldPosition="0"/>
    </format>
    <format dxfId="342">
      <pivotArea field="4" type="button" dataOnly="0" labelOnly="1" outline="0" axis="axisRow" fieldPosition="0"/>
    </format>
    <format dxfId="341">
      <pivotArea dataOnly="0" labelOnly="1" outline="0" fieldPosition="0">
        <references count="1">
          <reference field="4" count="0"/>
        </references>
      </pivotArea>
    </format>
    <format dxfId="340">
      <pivotArea dataOnly="0" labelOnly="1" grandRow="1" outline="0" fieldPosition="0"/>
    </format>
    <format dxfId="339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38">
      <pivotArea dataOnly="0" labelOnly="1" grandCol="1" outline="0" fieldPosition="0"/>
    </format>
    <format dxfId="337">
      <pivotArea type="all" dataOnly="0" outline="0" fieldPosition="0"/>
    </format>
    <format dxfId="336">
      <pivotArea outline="0" collapsedLevelsAreSubtotals="1" fieldPosition="0"/>
    </format>
    <format dxfId="335">
      <pivotArea type="origin" dataOnly="0" labelOnly="1" outline="0" fieldPosition="0"/>
    </format>
    <format dxfId="334">
      <pivotArea field="6" type="button" dataOnly="0" labelOnly="1" outline="0" axis="axisCol" fieldPosition="0"/>
    </format>
    <format dxfId="333">
      <pivotArea type="topRight" dataOnly="0" labelOnly="1" outline="0" fieldPosition="0"/>
    </format>
    <format dxfId="332">
      <pivotArea field="4" type="button" dataOnly="0" labelOnly="1" outline="0" axis="axisRow" fieldPosition="0"/>
    </format>
    <format dxfId="331">
      <pivotArea dataOnly="0" labelOnly="1" outline="0" fieldPosition="0">
        <references count="1">
          <reference field="4" count="0"/>
        </references>
      </pivotArea>
    </format>
    <format dxfId="330">
      <pivotArea dataOnly="0" labelOnly="1" grandRow="1" outline="0" fieldPosition="0"/>
    </format>
    <format dxfId="329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28">
      <pivotArea dataOnly="0" labelOnly="1" grandCol="1" outline="0" fieldPosition="0"/>
    </format>
    <format dxfId="327">
      <pivotArea type="origin" dataOnly="0" labelOnly="1" outline="0" fieldPosition="0"/>
    </format>
    <format dxfId="326">
      <pivotArea field="6" type="button" dataOnly="0" labelOnly="1" outline="0" axis="axisCol" fieldPosition="0"/>
    </format>
    <format dxfId="325">
      <pivotArea type="topRight" dataOnly="0" labelOnly="1" outline="0" fieldPosition="0"/>
    </format>
    <format dxfId="324">
      <pivotArea field="4" type="button" dataOnly="0" labelOnly="1" outline="0" axis="axisRow" fieldPosition="0"/>
    </format>
    <format dxfId="323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22">
      <pivotArea dataOnly="0" labelOnly="1" grandCol="1" outline="0" fieldPosition="0"/>
    </format>
    <format dxfId="321">
      <pivotArea type="origin" dataOnly="0" labelOnly="1" outline="0" fieldPosition="0"/>
    </format>
    <format dxfId="320">
      <pivotArea field="6" type="button" dataOnly="0" labelOnly="1" outline="0" axis="axisCol" fieldPosition="0"/>
    </format>
    <format dxfId="319">
      <pivotArea type="topRight" dataOnly="0" labelOnly="1" outline="0" fieldPosition="0"/>
    </format>
    <format dxfId="318">
      <pivotArea field="4" type="button" dataOnly="0" labelOnly="1" outline="0" axis="axisRow" fieldPosition="0"/>
    </format>
    <format dxfId="317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16">
      <pivotArea dataOnly="0" labelOnly="1" grandCol="1" outline="0" fieldPosition="0"/>
    </format>
    <format dxfId="315">
      <pivotArea grandRow="1" outline="0" collapsedLevelsAreSubtotals="1" fieldPosition="0"/>
    </format>
    <format dxfId="314">
      <pivotArea dataOnly="0" labelOnly="1" grandRow="1" outline="0" fieldPosition="0"/>
    </format>
    <format dxfId="313">
      <pivotArea grandRow="1" outline="0" collapsedLevelsAreSubtotals="1" fieldPosition="0"/>
    </format>
    <format dxfId="312">
      <pivotArea dataOnly="0" labelOnly="1" grandRow="1" outline="0" fieldPosition="0"/>
    </format>
    <format dxfId="311">
      <pivotArea field="4" type="button" dataOnly="0" labelOnly="1" outline="0" axis="axisRow" fieldPosition="0"/>
    </format>
    <format dxfId="310">
      <pivotArea dataOnly="0" labelOnly="1" outline="0" fieldPosition="0">
        <references count="1">
          <reference field="4" count="0"/>
        </references>
      </pivotArea>
    </format>
    <format dxfId="309">
      <pivotArea dataOnly="0" labelOnly="1" grandRow="1" outline="0" fieldPosition="0"/>
    </format>
    <format dxfId="308">
      <pivotArea field="4" type="button" dataOnly="0" labelOnly="1" outline="0" axis="axisRow" fieldPosition="0"/>
    </format>
    <format dxfId="307">
      <pivotArea dataOnly="0" labelOnly="1" outline="0" fieldPosition="0">
        <references count="1">
          <reference field="4" count="0"/>
        </references>
      </pivotArea>
    </format>
    <format dxfId="306">
      <pivotArea dataOnly="0" labelOnly="1" grandRow="1" outline="0" fieldPosition="0"/>
    </format>
    <format dxfId="305">
      <pivotArea outline="0" collapsedLevelsAreSubtotals="1" fieldPosition="0"/>
    </format>
    <format dxfId="304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03">
      <pivotArea dataOnly="0" labelOnly="1" grandCol="1" outline="0" fieldPosition="0"/>
    </format>
    <format dxfId="302">
      <pivotArea outline="0" collapsedLevelsAreSubtotals="1" fieldPosition="0"/>
    </format>
    <format dxfId="301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300">
      <pivotArea dataOnly="0" labelOnly="1" grandCol="1" outline="0" fieldPosition="0"/>
    </format>
    <format dxfId="299">
      <pivotArea outline="0" collapsedLevelsAreSubtotals="1" fieldPosition="0"/>
    </format>
    <format dxfId="298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97">
      <pivotArea dataOnly="0" labelOnly="1" grandCol="1" outline="0" fieldPosition="0"/>
    </format>
    <format dxfId="296">
      <pivotArea outline="0" collapsedLevelsAreSubtotals="1" fieldPosition="0"/>
    </format>
    <format dxfId="29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94">
      <pivotArea dataOnly="0" labelOnly="1" grandCol="1" outline="0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type="origin" dataOnly="0" labelOnly="1" outline="0" fieldPosition="0"/>
    </format>
    <format dxfId="290">
      <pivotArea field="6" type="button" dataOnly="0" labelOnly="1" outline="0" axis="axisCol" fieldPosition="0"/>
    </format>
    <format dxfId="289">
      <pivotArea type="topRight" dataOnly="0" labelOnly="1" outline="0" fieldPosition="0"/>
    </format>
    <format dxfId="288">
      <pivotArea field="4" type="button" dataOnly="0" labelOnly="1" outline="0" axis="axisRow" fieldPosition="0"/>
    </format>
    <format dxfId="287">
      <pivotArea dataOnly="0" labelOnly="1" outline="0" fieldPosition="0">
        <references count="1">
          <reference field="4" count="0"/>
        </references>
      </pivotArea>
    </format>
    <format dxfId="286">
      <pivotArea dataOnly="0" labelOnly="1" grandRow="1" outline="0" fieldPosition="0"/>
    </format>
    <format dxfId="28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84">
      <pivotArea dataOnly="0" labelOnly="1" grandCol="1" outline="0" fieldPosition="0"/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6" type="button" dataOnly="0" labelOnly="1" outline="0" axis="axisCol" fieldPosition="0"/>
    </format>
    <format dxfId="279">
      <pivotArea type="topRight" dataOnly="0" labelOnly="1" outline="0" fieldPosition="0"/>
    </format>
    <format dxfId="278">
      <pivotArea field="4" type="button" dataOnly="0" labelOnly="1" outline="0" axis="axisRow" fieldPosition="0"/>
    </format>
    <format dxfId="277">
      <pivotArea dataOnly="0" labelOnly="1" outline="0" fieldPosition="0">
        <references count="1">
          <reference field="4" count="0"/>
        </references>
      </pivotArea>
    </format>
    <format dxfId="276">
      <pivotArea dataOnly="0" labelOnly="1" grandRow="1" outline="0" fieldPosition="0"/>
    </format>
    <format dxfId="27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74">
      <pivotArea dataOnly="0" labelOnly="1" grandCol="1" outline="0" fieldPosition="0"/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type="origin" dataOnly="0" labelOnly="1" outline="0" fieldPosition="0"/>
    </format>
    <format dxfId="270">
      <pivotArea field="6" type="button" dataOnly="0" labelOnly="1" outline="0" axis="axisCol" fieldPosition="0"/>
    </format>
    <format dxfId="269">
      <pivotArea type="topRight" dataOnly="0" labelOnly="1" outline="0" fieldPosition="0"/>
    </format>
    <format dxfId="268">
      <pivotArea field="4" type="button" dataOnly="0" labelOnly="1" outline="0" axis="axisRow" fieldPosition="0"/>
    </format>
    <format dxfId="267">
      <pivotArea dataOnly="0" labelOnly="1" outline="0" fieldPosition="0">
        <references count="1">
          <reference field="4" count="0"/>
        </references>
      </pivotArea>
    </format>
    <format dxfId="266">
      <pivotArea dataOnly="0" labelOnly="1" grandRow="1" outline="0" fieldPosition="0"/>
    </format>
    <format dxfId="26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64">
      <pivotArea dataOnly="0" labelOnly="1" grandCol="1" outline="0" fieldPosition="0"/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type="origin" dataOnly="0" labelOnly="1" outline="0" fieldPosition="0"/>
    </format>
    <format dxfId="260">
      <pivotArea field="6" type="button" dataOnly="0" labelOnly="1" outline="0" axis="axisCol" fieldPosition="0"/>
    </format>
    <format dxfId="259">
      <pivotArea type="topRight" dataOnly="0" labelOnly="1" outline="0" fieldPosition="0"/>
    </format>
    <format dxfId="258">
      <pivotArea field="4" type="button" dataOnly="0" labelOnly="1" outline="0" axis="axisRow" fieldPosition="0"/>
    </format>
    <format dxfId="257">
      <pivotArea dataOnly="0" labelOnly="1" outline="0" fieldPosition="0">
        <references count="1">
          <reference field="4" count="0"/>
        </references>
      </pivotArea>
    </format>
    <format dxfId="256">
      <pivotArea dataOnly="0" labelOnly="1" grandRow="1" outline="0" fieldPosition="0"/>
    </format>
    <format dxfId="255">
      <pivotArea dataOnly="0" labelOnly="1" outline="0" fieldPosition="0">
        <references count="1">
          <reference field="6" count="2">
            <x v="0"/>
            <x v="1"/>
          </reference>
        </references>
      </pivotArea>
    </format>
    <format dxfId="254">
      <pivotArea dataOnly="0" labelOnly="1" grandCol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showDrill="0" showDataTips="0" useAutoFormatting="1" itemPrintTitles="1" mergeItem="1" createdVersion="6" indent="0" compact="0" compactData="0" multipleFieldFilters="0">
  <location ref="A10:H15" firstHeaderRow="1" firstDataRow="3" firstDataCol="1"/>
  <pivotFields count="1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4">
        <item x="1"/>
        <item x="2"/>
        <item h="1" x="0"/>
        <item t="default"/>
      </items>
    </pivotField>
    <pivotField compact="0" outline="0" showAll="0" defaultSubtotal="0"/>
    <pivotField axis="axisCol" compact="0" outline="0" showAll="0" defaultSubtotal="0">
      <items count="3">
        <item x="1"/>
        <item x="2"/>
        <item h="1" x="0"/>
      </items>
    </pivotField>
    <pivotField axis="axisCol" compact="0" outline="0" showAll="0" defaultSubtotal="0">
      <items count="4">
        <item x="3"/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16">
        <item x="12"/>
        <item x="1"/>
        <item x="2"/>
        <item x="8"/>
        <item x="6"/>
        <item x="7"/>
        <item x="3"/>
        <item x="5"/>
        <item x="4"/>
        <item x="9"/>
        <item x="15"/>
        <item x="10"/>
        <item x="13"/>
        <item x="11"/>
        <item x="14"/>
        <item x="0"/>
      </items>
    </pivotField>
    <pivotField compact="0" outline="0" showAll="0" defaultSubtotal="0"/>
  </pivotFields>
  <rowFields count="1">
    <field x="4"/>
  </rowFields>
  <rowItems count="3">
    <i>
      <x/>
    </i>
    <i>
      <x v="1"/>
    </i>
    <i t="grand">
      <x/>
    </i>
  </rowItems>
  <colFields count="2">
    <field x="6"/>
    <field x="7"/>
  </colFields>
  <colItems count="7">
    <i>
      <x/>
      <x/>
    </i>
    <i r="1">
      <x v="1"/>
    </i>
    <i r="1">
      <x v="2"/>
    </i>
    <i>
      <x v="1"/>
      <x/>
    </i>
    <i r="1">
      <x v="1"/>
    </i>
    <i r="1">
      <x v="2"/>
    </i>
    <i t="grand">
      <x/>
    </i>
  </colItems>
  <dataFields count="1">
    <dataField name="Sum of Budgeted" fld="15" baseField="4" baseItem="0" numFmtId="166"/>
  </dataFields>
  <formats count="126">
    <format dxfId="486">
      <pivotArea outline="0" collapsedLevelsAreSubtotals="1" fieldPosition="0"/>
    </format>
    <format dxfId="485">
      <pivotArea outline="0" collapsedLevelsAreSubtotals="1" fieldPosition="0"/>
    </format>
    <format dxfId="484">
      <pivotArea outline="0" collapsedLevelsAreSubtotals="1" fieldPosition="0"/>
    </format>
    <format dxfId="483">
      <pivotArea outline="0" collapsedLevelsAreSubtotals="1" fieldPosition="0"/>
    </format>
    <format dxfId="482">
      <pivotArea outline="0" collapsedLevelsAreSubtotals="1" fieldPosition="0"/>
    </format>
    <format dxfId="481">
      <pivotArea outline="0" collapsedLevelsAreSubtotals="1" fieldPosition="0"/>
    </format>
    <format dxfId="480">
      <pivotArea type="all" dataOnly="0" outline="0" fieldPosition="0"/>
    </format>
    <format dxfId="479">
      <pivotArea outline="0" collapsedLevelsAreSubtotals="1" fieldPosition="0"/>
    </format>
    <format dxfId="478">
      <pivotArea type="origin" dataOnly="0" labelOnly="1" outline="0" fieldPosition="0"/>
    </format>
    <format dxfId="477">
      <pivotArea field="6" type="button" dataOnly="0" labelOnly="1" outline="0" axis="axisCol" fieldPosition="0"/>
    </format>
    <format dxfId="476">
      <pivotArea field="7" type="button" dataOnly="0" labelOnly="1" outline="0" axis="axisCol" fieldPosition="1"/>
    </format>
    <format dxfId="475">
      <pivotArea type="topRight" dataOnly="0" labelOnly="1" outline="0" fieldPosition="0"/>
    </format>
    <format dxfId="474">
      <pivotArea field="4" type="button" dataOnly="0" labelOnly="1" outline="0" axis="axisRow" fieldPosition="0"/>
    </format>
    <format dxfId="473">
      <pivotArea dataOnly="0" labelOnly="1" outline="0" fieldPosition="0">
        <references count="1">
          <reference field="4" count="0"/>
        </references>
      </pivotArea>
    </format>
    <format dxfId="472">
      <pivotArea dataOnly="0" labelOnly="1" grandRow="1" outline="0" fieldPosition="0"/>
    </format>
    <format dxfId="471">
      <pivotArea dataOnly="0" labelOnly="1" outline="0" fieldPosition="0">
        <references count="1">
          <reference field="6" count="0"/>
        </references>
      </pivotArea>
    </format>
    <format dxfId="470">
      <pivotArea dataOnly="0" labelOnly="1" grandCol="1" outline="0" fieldPosition="0"/>
    </format>
    <format dxfId="469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68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67">
      <pivotArea type="all" dataOnly="0" outline="0" fieldPosition="0"/>
    </format>
    <format dxfId="466">
      <pivotArea outline="0" collapsedLevelsAreSubtotals="1" fieldPosition="0"/>
    </format>
    <format dxfId="465">
      <pivotArea type="origin" dataOnly="0" labelOnly="1" outline="0" fieldPosition="0"/>
    </format>
    <format dxfId="464">
      <pivotArea field="6" type="button" dataOnly="0" labelOnly="1" outline="0" axis="axisCol" fieldPosition="0"/>
    </format>
    <format dxfId="463">
      <pivotArea field="7" type="button" dataOnly="0" labelOnly="1" outline="0" axis="axisCol" fieldPosition="1"/>
    </format>
    <format dxfId="462">
      <pivotArea type="topRight" dataOnly="0" labelOnly="1" outline="0" fieldPosition="0"/>
    </format>
    <format dxfId="461">
      <pivotArea field="4" type="button" dataOnly="0" labelOnly="1" outline="0" axis="axisRow" fieldPosition="0"/>
    </format>
    <format dxfId="460">
      <pivotArea dataOnly="0" labelOnly="1" outline="0" fieldPosition="0">
        <references count="1">
          <reference field="4" count="0"/>
        </references>
      </pivotArea>
    </format>
    <format dxfId="459">
      <pivotArea dataOnly="0" labelOnly="1" grandRow="1" outline="0" fieldPosition="0"/>
    </format>
    <format dxfId="458">
      <pivotArea dataOnly="0" labelOnly="1" outline="0" fieldPosition="0">
        <references count="1">
          <reference field="6" count="0"/>
        </references>
      </pivotArea>
    </format>
    <format dxfId="457">
      <pivotArea dataOnly="0" labelOnly="1" grandCol="1" outline="0" fieldPosition="0"/>
    </format>
    <format dxfId="456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55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54">
      <pivotArea type="origin" dataOnly="0" labelOnly="1" outline="0" fieldPosition="0"/>
    </format>
    <format dxfId="453">
      <pivotArea field="6" type="button" dataOnly="0" labelOnly="1" outline="0" axis="axisCol" fieldPosition="0"/>
    </format>
    <format dxfId="452">
      <pivotArea field="7" type="button" dataOnly="0" labelOnly="1" outline="0" axis="axisCol" fieldPosition="1"/>
    </format>
    <format dxfId="451">
      <pivotArea type="topRight" dataOnly="0" labelOnly="1" outline="0" fieldPosition="0"/>
    </format>
    <format dxfId="450">
      <pivotArea field="4" type="button" dataOnly="0" labelOnly="1" outline="0" axis="axisRow" fieldPosition="0"/>
    </format>
    <format dxfId="449">
      <pivotArea dataOnly="0" labelOnly="1" outline="0" fieldPosition="0">
        <references count="1">
          <reference field="6" count="0"/>
        </references>
      </pivotArea>
    </format>
    <format dxfId="448">
      <pivotArea dataOnly="0" labelOnly="1" grandCol="1" outline="0" fieldPosition="0"/>
    </format>
    <format dxfId="447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46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45">
      <pivotArea type="origin" dataOnly="0" labelOnly="1" outline="0" fieldPosition="0"/>
    </format>
    <format dxfId="444">
      <pivotArea field="6" type="button" dataOnly="0" labelOnly="1" outline="0" axis="axisCol" fieldPosition="0"/>
    </format>
    <format dxfId="443">
      <pivotArea field="7" type="button" dataOnly="0" labelOnly="1" outline="0" axis="axisCol" fieldPosition="1"/>
    </format>
    <format dxfId="442">
      <pivotArea type="topRight" dataOnly="0" labelOnly="1" outline="0" fieldPosition="0"/>
    </format>
    <format dxfId="441">
      <pivotArea field="4" type="button" dataOnly="0" labelOnly="1" outline="0" axis="axisRow" fieldPosition="0"/>
    </format>
    <format dxfId="440">
      <pivotArea dataOnly="0" labelOnly="1" outline="0" fieldPosition="0">
        <references count="1">
          <reference field="6" count="0"/>
        </references>
      </pivotArea>
    </format>
    <format dxfId="439">
      <pivotArea dataOnly="0" labelOnly="1" grandCol="1" outline="0" fieldPosition="0"/>
    </format>
    <format dxfId="438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37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36">
      <pivotArea type="origin" dataOnly="0" labelOnly="1" outline="0" fieldPosition="0"/>
    </format>
    <format dxfId="435">
      <pivotArea field="6" type="button" dataOnly="0" labelOnly="1" outline="0" axis="axisCol" fieldPosition="0"/>
    </format>
    <format dxfId="434">
      <pivotArea field="7" type="button" dataOnly="0" labelOnly="1" outline="0" axis="axisCol" fieldPosition="1"/>
    </format>
    <format dxfId="433">
      <pivotArea type="topRight" dataOnly="0" labelOnly="1" outline="0" fieldPosition="0"/>
    </format>
    <format dxfId="432">
      <pivotArea field="4" type="button" dataOnly="0" labelOnly="1" outline="0" axis="axisRow" fieldPosition="0"/>
    </format>
    <format dxfId="431">
      <pivotArea dataOnly="0" labelOnly="1" outline="0" fieldPosition="0">
        <references count="1">
          <reference field="6" count="0"/>
        </references>
      </pivotArea>
    </format>
    <format dxfId="430">
      <pivotArea dataOnly="0" labelOnly="1" grandCol="1" outline="0" fieldPosition="0"/>
    </format>
    <format dxfId="429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28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27">
      <pivotArea outline="0" collapsedLevelsAreSubtotals="1" fieldPosition="0"/>
    </format>
    <format dxfId="426">
      <pivotArea type="origin" dataOnly="0" labelOnly="1" outline="0" offset="A2" fieldPosition="0"/>
    </format>
    <format dxfId="425">
      <pivotArea field="4" type="button" dataOnly="0" labelOnly="1" outline="0" axis="axisRow" fieldPosition="0"/>
    </format>
    <format dxfId="424">
      <pivotArea dataOnly="0" labelOnly="1" outline="0" fieldPosition="0">
        <references count="1">
          <reference field="4" count="0"/>
        </references>
      </pivotArea>
    </format>
    <format dxfId="423">
      <pivotArea dataOnly="0" labelOnly="1" grandRow="1" outline="0" fieldPosition="0"/>
    </format>
    <format dxfId="422">
      <pivotArea dataOnly="0" labelOnly="1" outline="0" fieldPosition="0">
        <references count="1">
          <reference field="6" count="0"/>
        </references>
      </pivotArea>
    </format>
    <format dxfId="421">
      <pivotArea dataOnly="0" labelOnly="1" grandCol="1" outline="0" fieldPosition="0"/>
    </format>
    <format dxfId="420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19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418">
      <pivotArea grandRow="1" outline="0" collapsedLevelsAreSubtotals="1" fieldPosition="0"/>
    </format>
    <format dxfId="417">
      <pivotArea dataOnly="0" labelOnly="1" grandRow="1" outline="0" fieldPosition="0"/>
    </format>
    <format dxfId="416">
      <pivotArea grandRow="1" outline="0" collapsedLevelsAreSubtotals="1" fieldPosition="0"/>
    </format>
    <format dxfId="415">
      <pivotArea dataOnly="0" labelOnly="1" grandRow="1" outline="0" fieldPosition="0"/>
    </format>
    <format dxfId="414">
      <pivotArea outline="0" collapsedLevelsAreSubtotals="1" fieldPosition="0">
        <references count="3">
          <reference field="4" count="0" selected="0"/>
          <reference field="6" count="1" selected="0">
            <x v="0"/>
          </reference>
          <reference field="7" count="1" selected="0">
            <x v="2"/>
          </reference>
        </references>
      </pivotArea>
    </format>
    <format dxfId="413">
      <pivotArea outline="0" collapsedLevelsAreSubtotals="1" fieldPosition="0">
        <references count="3">
          <reference field="4" count="0" selected="0"/>
          <reference field="6" count="1" selected="0">
            <x v="1"/>
          </reference>
          <reference field="7" count="1" selected="0">
            <x v="2"/>
          </reference>
        </references>
      </pivotArea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type="origin" dataOnly="0" labelOnly="1" outline="0" fieldPosition="0"/>
    </format>
    <format dxfId="409">
      <pivotArea field="6" type="button" dataOnly="0" labelOnly="1" outline="0" axis="axisCol" fieldPosition="0"/>
    </format>
    <format dxfId="408">
      <pivotArea field="7" type="button" dataOnly="0" labelOnly="1" outline="0" axis="axisCol" fieldPosition="1"/>
    </format>
    <format dxfId="407">
      <pivotArea type="topRight" dataOnly="0" labelOnly="1" outline="0" fieldPosition="0"/>
    </format>
    <format dxfId="406">
      <pivotArea field="4" type="button" dataOnly="0" labelOnly="1" outline="0" axis="axisRow" fieldPosition="0"/>
    </format>
    <format dxfId="405">
      <pivotArea dataOnly="0" labelOnly="1" outline="0" fieldPosition="0">
        <references count="1">
          <reference field="4" count="0"/>
        </references>
      </pivotArea>
    </format>
    <format dxfId="404">
      <pivotArea dataOnly="0" labelOnly="1" grandRow="1" outline="0" fieldPosition="0"/>
    </format>
    <format dxfId="403">
      <pivotArea dataOnly="0" labelOnly="1" outline="0" fieldPosition="0">
        <references count="1">
          <reference field="6" count="0"/>
        </references>
      </pivotArea>
    </format>
    <format dxfId="402">
      <pivotArea dataOnly="0" labelOnly="1" grandCol="1" outline="0" fieldPosition="0"/>
    </format>
    <format dxfId="401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400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399">
      <pivotArea type="all" dataOnly="0" outline="0" fieldPosition="0"/>
    </format>
    <format dxfId="398">
      <pivotArea outline="0" collapsedLevelsAreSubtotals="1" fieldPosition="0"/>
    </format>
    <format dxfId="397">
      <pivotArea type="origin" dataOnly="0" labelOnly="1" outline="0" fieldPosition="0"/>
    </format>
    <format dxfId="396">
      <pivotArea field="6" type="button" dataOnly="0" labelOnly="1" outline="0" axis="axisCol" fieldPosition="0"/>
    </format>
    <format dxfId="395">
      <pivotArea field="7" type="button" dataOnly="0" labelOnly="1" outline="0" axis="axisCol" fieldPosition="1"/>
    </format>
    <format dxfId="394">
      <pivotArea type="topRight" dataOnly="0" labelOnly="1" outline="0" fieldPosition="0"/>
    </format>
    <format dxfId="393">
      <pivotArea field="4" type="button" dataOnly="0" labelOnly="1" outline="0" axis="axisRow" fieldPosition="0"/>
    </format>
    <format dxfId="392">
      <pivotArea dataOnly="0" labelOnly="1" outline="0" fieldPosition="0">
        <references count="1">
          <reference field="4" count="0"/>
        </references>
      </pivotArea>
    </format>
    <format dxfId="391">
      <pivotArea dataOnly="0" labelOnly="1" grandRow="1" outline="0" fieldPosition="0"/>
    </format>
    <format dxfId="390">
      <pivotArea dataOnly="0" labelOnly="1" outline="0" fieldPosition="0">
        <references count="1">
          <reference field="6" count="0"/>
        </references>
      </pivotArea>
    </format>
    <format dxfId="389">
      <pivotArea dataOnly="0" labelOnly="1" grandCol="1" outline="0" fieldPosition="0"/>
    </format>
    <format dxfId="388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387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386">
      <pivotArea type="all" dataOnly="0" outline="0" fieldPosition="0"/>
    </format>
    <format dxfId="385">
      <pivotArea outline="0" collapsedLevelsAreSubtotals="1" fieldPosition="0"/>
    </format>
    <format dxfId="384">
      <pivotArea type="origin" dataOnly="0" labelOnly="1" outline="0" fieldPosition="0"/>
    </format>
    <format dxfId="383">
      <pivotArea field="6" type="button" dataOnly="0" labelOnly="1" outline="0" axis="axisCol" fieldPosition="0"/>
    </format>
    <format dxfId="382">
      <pivotArea field="7" type="button" dataOnly="0" labelOnly="1" outline="0" axis="axisCol" fieldPosition="1"/>
    </format>
    <format dxfId="381">
      <pivotArea type="topRight" dataOnly="0" labelOnly="1" outline="0" fieldPosition="0"/>
    </format>
    <format dxfId="380">
      <pivotArea field="4" type="button" dataOnly="0" labelOnly="1" outline="0" axis="axisRow" fieldPosition="0"/>
    </format>
    <format dxfId="379">
      <pivotArea dataOnly="0" labelOnly="1" outline="0" fieldPosition="0">
        <references count="1">
          <reference field="4" count="0"/>
        </references>
      </pivotArea>
    </format>
    <format dxfId="378">
      <pivotArea dataOnly="0" labelOnly="1" grandRow="1" outline="0" fieldPosition="0"/>
    </format>
    <format dxfId="377">
      <pivotArea dataOnly="0" labelOnly="1" outline="0" fieldPosition="0">
        <references count="1">
          <reference field="6" count="0"/>
        </references>
      </pivotArea>
    </format>
    <format dxfId="376">
      <pivotArea dataOnly="0" labelOnly="1" grandCol="1" outline="0" fieldPosition="0"/>
    </format>
    <format dxfId="375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374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type="origin" dataOnly="0" labelOnly="1" outline="0" fieldPosition="0"/>
    </format>
    <format dxfId="370">
      <pivotArea field="6" type="button" dataOnly="0" labelOnly="1" outline="0" axis="axisCol" fieldPosition="0"/>
    </format>
    <format dxfId="369">
      <pivotArea field="7" type="button" dataOnly="0" labelOnly="1" outline="0" axis="axisCol" fieldPosition="1"/>
    </format>
    <format dxfId="368">
      <pivotArea type="topRight" dataOnly="0" labelOnly="1" outline="0" fieldPosition="0"/>
    </format>
    <format dxfId="367">
      <pivotArea field="4" type="button" dataOnly="0" labelOnly="1" outline="0" axis="axisRow" fieldPosition="0"/>
    </format>
    <format dxfId="366">
      <pivotArea dataOnly="0" labelOnly="1" outline="0" fieldPosition="0">
        <references count="1">
          <reference field="4" count="0"/>
        </references>
      </pivotArea>
    </format>
    <format dxfId="365">
      <pivotArea dataOnly="0" labelOnly="1" grandRow="1" outline="0" fieldPosition="0"/>
    </format>
    <format dxfId="364">
      <pivotArea dataOnly="0" labelOnly="1" outline="0" fieldPosition="0">
        <references count="1">
          <reference field="6" count="0"/>
        </references>
      </pivotArea>
    </format>
    <format dxfId="363">
      <pivotArea dataOnly="0" labelOnly="1" grandCol="1" outline="0" fieldPosition="0"/>
    </format>
    <format dxfId="362">
      <pivotArea dataOnly="0" labelOnly="1" outline="0" fieldPosition="0">
        <references count="2">
          <reference field="6" count="1" selected="0">
            <x v="0"/>
          </reference>
          <reference field="7" count="3">
            <x v="0"/>
            <x v="1"/>
            <x v="2"/>
          </reference>
        </references>
      </pivotArea>
    </format>
    <format dxfId="361">
      <pivotArea dataOnly="0" labelOnly="1" outline="0" fieldPosition="0">
        <references count="2">
          <reference field="6" count="1" selected="0">
            <x v="1"/>
          </reference>
          <reference field="7" count="3">
            <x v="0"/>
            <x v="1"/>
            <x v="2"/>
          </reference>
        </references>
      </pivotArea>
    </format>
  </formats>
  <pivotTableStyleInfo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showHeaders="0" outline="1" outlineData="1" multipleFieldFilters="0" rowHeaderCaption="Project Title">
  <location ref="B6:F22" firstHeaderRow="1" firstDataRow="2" firstDataCol="1" rowPageCount="1" colPageCount="1"/>
  <pivotFields count="17">
    <pivotField axis="axisRow" showAll="0" defaultSubtotal="0">
      <items count="15">
        <item x="4"/>
        <item x="8"/>
        <item x="5"/>
        <item x="1"/>
        <item x="9"/>
        <item x="14"/>
        <item x="12"/>
        <item x="2"/>
        <item x="10"/>
        <item x="13"/>
        <item x="6"/>
        <item x="11"/>
        <item x="7"/>
        <item x="3"/>
        <item x="0"/>
      </items>
    </pivotField>
    <pivotField showAll="0"/>
    <pivotField showAll="0"/>
    <pivotField axis="axisPage" multipleItemSelectionAllowed="1" showAll="0">
      <items count="4">
        <item x="1"/>
        <item h="1" x="0"/>
        <item x="2"/>
        <item t="default"/>
      </items>
    </pivotField>
    <pivotField showAll="0" defaultSubtotal="0"/>
    <pivotField showAll="0"/>
    <pivotField showAll="0"/>
    <pivotField showAll="0"/>
    <pivotField showAll="0" defaultSubtotal="0"/>
    <pivotField showAll="0"/>
    <pivotField showAll="0"/>
    <pivotField axis="axisCol" dataField="1" showAll="0">
      <items count="5">
        <item x="3"/>
        <item x="1"/>
        <item h="1" x="0"/>
        <item x="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11"/>
  </colFields>
  <colItems count="4">
    <i>
      <x/>
    </i>
    <i>
      <x v="1"/>
    </i>
    <i>
      <x v="3"/>
    </i>
    <i t="grand">
      <x/>
    </i>
  </colItems>
  <pageFields count="1">
    <pageField fld="3" hier="-1"/>
  </pageFields>
  <dataFields count="1">
    <dataField name="Count of Status" fld="11" subtotal="count" baseField="0" baseItem="0"/>
  </dataFields>
  <formats count="4">
    <format dxfId="103">
      <pivotArea field="3" type="button" dataOnly="0" labelOnly="1" outline="0" axis="axisPage" fieldPosition="0"/>
    </format>
    <format dxfId="102">
      <pivotArea dataOnly="0" labelOnly="1" outline="0" fieldPosition="0">
        <references count="1">
          <reference field="3" count="1">
            <x v="0"/>
          </reference>
        </references>
      </pivotArea>
    </format>
    <format dxfId="101">
      <pivotArea outline="0" collapsedLevelsAreSubtotals="1" fieldPosition="0"/>
    </format>
    <format dxfId="10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Associate Name">
  <location ref="N23:P27" firstHeaderRow="0" firstDataRow="1" firstDataCol="1" rowPageCount="1" colPageCount="1"/>
  <pivotFields count="9">
    <pivotField axis="axisRow" showAll="0">
      <items count="5">
        <item x="0"/>
        <item x="1"/>
        <item x="3"/>
        <item x="2"/>
        <item t="default"/>
      </items>
    </pivotField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dataField="1" showAll="0"/>
    <pivotField showAll="0"/>
    <pivotField showAll="0"/>
    <pivotField showAll="0" defaultSubtotal="0"/>
    <pivotField showAll="0" defaultSubtotal="0"/>
  </pivotFields>
  <rowFields count="1">
    <field x="0"/>
  </rowFields>
  <rowItems count="4"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ON Present" fld="3" baseField="0" baseItem="0"/>
    <dataField name="OFF Present" fld="4" baseField="0" baseItem="0"/>
  </dataFields>
  <formats count="3">
    <format dxfId="106">
      <pivotArea outline="0" collapsedLevelsAreSubtotals="1" fieldPosition="0"/>
    </format>
    <format dxfId="105">
      <pivotArea field="1" type="button" dataOnly="0" labelOnly="1" outline="0" axis="axisPage" fieldPosition="0"/>
    </format>
    <format dxfId="104">
      <pivotArea dataOnly="0" labelOnly="1" outline="0" fieldPosition="0">
        <references count="1"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Landscape Mapping">
  <location ref="H6:L29" firstHeaderRow="1" firstDataRow="2" firstDataCol="1" rowPageCount="1" colPageCount="1"/>
  <pivotFields count="17">
    <pivotField showAll="0" defaultSubtotal="0"/>
    <pivotField showAll="0"/>
    <pivotField axis="axisRow" showAll="0">
      <items count="6">
        <item x="1"/>
        <item x="3"/>
        <item h="1" x="0"/>
        <item x="2"/>
        <item x="4"/>
        <item t="default"/>
      </items>
    </pivotField>
    <pivotField axis="axisPage" multipleItemSelectionAllowed="1" showAll="0">
      <items count="4">
        <item x="1"/>
        <item h="1" x="0"/>
        <item x="2"/>
        <item t="default"/>
      </items>
    </pivotField>
    <pivotField axis="axisCol" dataField="1" showAll="0" defaultSubtotal="0">
      <items count="4">
        <item x="3"/>
        <item x="1"/>
        <item x="0"/>
        <item x="2"/>
      </items>
    </pivotField>
    <pivotField showAll="0"/>
    <pivotField showAll="0"/>
    <pivotField showAll="0"/>
    <pivotField showAll="0" defaultSubtotal="0"/>
    <pivotField showAll="0"/>
    <pivotField showAll="0"/>
    <pivotField showAll="0" productSubtotal="1" varSubtotal="1"/>
    <pivotField showAll="0"/>
    <pivotField showAll="0"/>
    <pivotField showAll="0" defaultSubtotal="0"/>
    <pivotField axis="axisRow" showAll="0" defaultSubtotal="0">
      <items count="16">
        <item x="1"/>
        <item x="0"/>
        <item m="1" x="13"/>
        <item m="1" x="14"/>
        <item x="7"/>
        <item m="1" x="15"/>
        <item m="1" x="12"/>
        <item x="11"/>
        <item x="10"/>
        <item x="3"/>
        <item x="5"/>
        <item x="4"/>
        <item x="2"/>
        <item x="6"/>
        <item x="8"/>
        <item x="9"/>
      </items>
    </pivotField>
    <pivotField axis="axisRow" showAll="0" defaultSubtotal="0">
      <items count="6">
        <item x="3"/>
        <item x="2"/>
        <item x="1"/>
        <item x="0"/>
        <item x="4"/>
        <item x="5"/>
      </items>
    </pivotField>
  </pivotFields>
  <rowFields count="3">
    <field x="2"/>
    <field x="16"/>
    <field x="15"/>
  </rowFields>
  <rowItems count="22">
    <i>
      <x/>
    </i>
    <i r="1">
      <x v="2"/>
    </i>
    <i r="2">
      <x/>
    </i>
    <i r="2">
      <x v="9"/>
    </i>
    <i r="2">
      <x v="10"/>
    </i>
    <i r="2">
      <x v="13"/>
    </i>
    <i>
      <x v="1"/>
    </i>
    <i r="1">
      <x/>
    </i>
    <i r="2">
      <x v="4"/>
    </i>
    <i>
      <x v="3"/>
    </i>
    <i r="1">
      <x v="1"/>
    </i>
    <i r="2">
      <x v="7"/>
    </i>
    <i r="2">
      <x v="11"/>
    </i>
    <i r="2">
      <x v="12"/>
    </i>
    <i>
      <x v="4"/>
    </i>
    <i r="1">
      <x v="2"/>
    </i>
    <i r="2">
      <x v="8"/>
    </i>
    <i r="1">
      <x v="4"/>
    </i>
    <i r="2">
      <x v="14"/>
    </i>
    <i r="1">
      <x v="5"/>
    </i>
    <i r="2">
      <x v="15"/>
    </i>
    <i t="grand">
      <x/>
    </i>
  </rowItems>
  <colFields count="1">
    <field x="4"/>
  </colFields>
  <colItems count="4">
    <i>
      <x/>
    </i>
    <i>
      <x v="1"/>
    </i>
    <i>
      <x v="3"/>
    </i>
    <i t="grand">
      <x/>
    </i>
  </colItems>
  <pageFields count="1">
    <pageField fld="3" hier="-1"/>
  </pageFields>
  <dataFields count="1">
    <dataField name="Count of Project Type" fld="4" subtotal="count" baseField="0" baseItem="0"/>
  </dataFields>
  <formats count="9">
    <format dxfId="115">
      <pivotArea field="3" type="button" dataOnly="0" labelOnly="1" outline="0" axis="axisPage" fieldPosition="0"/>
    </format>
    <format dxfId="114">
      <pivotArea dataOnly="0" labelOnly="1" outline="0" fieldPosition="0">
        <references count="1">
          <reference field="3" count="1">
            <x v="0"/>
          </reference>
        </references>
      </pivotArea>
    </format>
    <format dxfId="113">
      <pivotArea dataOnly="0" labelOnly="1" grandCol="1" outline="0" fieldPosition="0"/>
    </format>
    <format dxfId="112">
      <pivotArea dataOnly="0" labelOnly="1" grandCol="1" outline="0" fieldPosition="0"/>
    </format>
    <format dxfId="111">
      <pivotArea dataOnly="0" labelOnly="1" fieldPosition="0">
        <references count="1">
          <reference field="4" count="3">
            <x v="0"/>
            <x v="1"/>
            <x v="3"/>
          </reference>
        </references>
      </pivotArea>
    </format>
    <format dxfId="110">
      <pivotArea dataOnly="0" labelOnly="1" fieldPosition="0">
        <references count="1">
          <reference field="4" count="3">
            <x v="0"/>
            <x v="1"/>
            <x v="3"/>
          </reference>
        </references>
      </pivotArea>
    </format>
    <format dxfId="109">
      <pivotArea collapsedLevelsAreSubtotals="1" fieldPosition="0">
        <references count="4">
          <reference field="2" count="1" selected="0">
            <x v="0"/>
          </reference>
          <reference field="4" count="1" selected="0">
            <x v="1"/>
          </reference>
          <reference field="15" count="1">
            <x v="0"/>
          </reference>
          <reference field="16" count="1" selected="0">
            <x v="2"/>
          </reference>
        </references>
      </pivotArea>
    </format>
    <format dxfId="108">
      <pivotArea outline="0" collapsedLevelsAreSubtotals="1" fieldPosition="0">
        <references count="1">
          <reference field="4" count="3" selected="0">
            <x v="0"/>
            <x v="1"/>
            <x v="3"/>
          </reference>
        </references>
      </pivotArea>
    </format>
    <format dxfId="107">
      <pivotArea outline="0" collapsedLevelsAreSubtotals="1" fieldPosition="0">
        <references count="1">
          <reference field="4" count="3" selected="0">
            <x v="0"/>
            <x v="1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Project Title">
  <location ref="M5:N14" firstHeaderRow="1" firstDataRow="1" firstDataCol="1"/>
  <pivotFields count="6">
    <pivotField axis="axisRow" multipleItemSelectionAllowed="1" showAll="0">
      <items count="49">
        <item h="1" x="16"/>
        <item x="1"/>
        <item h="1" x="14"/>
        <item h="1" x="15"/>
        <item h="1" x="25"/>
        <item x="20"/>
        <item h="1" x="11"/>
        <item h="1" x="26"/>
        <item h="1" x="39"/>
        <item h="1" x="4"/>
        <item h="1" x="2"/>
        <item h="1" x="34"/>
        <item h="1" x="17"/>
        <item h="1" x="45"/>
        <item h="1" x="43"/>
        <item h="1" x="38"/>
        <item x="27"/>
        <item x="18"/>
        <item x="33"/>
        <item h="1" x="6"/>
        <item h="1" x="7"/>
        <item h="1" x="8"/>
        <item x="42"/>
        <item h="1" x="24"/>
        <item h="1" x="44"/>
        <item h="1" x="41"/>
        <item h="1" x="3"/>
        <item h="1" x="36"/>
        <item n="Privilege Access Management" x="35"/>
        <item h="1" x="37"/>
        <item h="1" x="46"/>
        <item h="1" x="40"/>
        <item h="1" x="23"/>
        <item h="1" x="31"/>
        <item h="1" x="28"/>
        <item h="1" x="13"/>
        <item h="1" x="30"/>
        <item h="1" x="10"/>
        <item h="1" x="9"/>
        <item x="12"/>
        <item h="1" x="19"/>
        <item h="1" x="29"/>
        <item h="1" x="22"/>
        <item h="1" x="5"/>
        <item h="1" x="21"/>
        <item h="1" x="47"/>
        <item h="1" x="32"/>
        <item h="1"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5"/>
    </i>
    <i>
      <x v="16"/>
    </i>
    <i>
      <x v="17"/>
    </i>
    <i>
      <x v="18"/>
    </i>
    <i>
      <x v="22"/>
    </i>
    <i>
      <x v="28"/>
    </i>
    <i>
      <x v="39"/>
    </i>
    <i t="grand">
      <x/>
    </i>
  </rowItems>
  <colItems count="1">
    <i/>
  </colItems>
  <dataFields count="1">
    <dataField name="Variance %" fld="5" baseField="0" baseItem="1"/>
  </dataFields>
  <formats count="11">
    <format dxfId="95">
      <pivotArea field="0" type="button" dataOnly="0" labelOnly="1" outline="0" axis="axisRow" fieldPosition="0"/>
    </format>
    <format dxfId="94">
      <pivotArea dataOnly="0" labelOnly="1" outline="0" axis="axisValues" fieldPosition="0"/>
    </format>
    <format dxfId="93">
      <pivotArea grandRow="1" outline="0" collapsedLevelsAreSubtotals="1" fieldPosition="0"/>
    </format>
    <format dxfId="92">
      <pivotArea dataOnly="0" labelOnly="1" grandRow="1" outline="0" fieldPosition="0"/>
    </format>
    <format dxfId="91">
      <pivotArea type="all" dataOnly="0" outline="0" fieldPosition="0"/>
    </format>
    <format dxfId="90">
      <pivotArea collapsedLevelsAreSubtotals="1" fieldPosition="0">
        <references count="1">
          <reference field="0" count="0"/>
        </references>
      </pivotArea>
    </format>
    <format dxfId="89">
      <pivotArea grandRow="1" outline="0" collapsedLevelsAreSubtotals="1" fieldPosition="0"/>
    </format>
    <format dxfId="88">
      <pivotArea outline="0" collapsedLevelsAreSubtotals="1" fieldPosition="0"/>
    </format>
    <format dxfId="87">
      <pivotArea dataOnly="0" labelOnly="1" outline="0" axis="axisValues" fieldPosition="0"/>
    </format>
    <format dxfId="86">
      <pivotArea outline="0" collapsedLevelsAreSubtotals="1" fieldPosition="0"/>
    </format>
    <format dxfId="8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11" firstHeaderRow="1" firstDataRow="2" firstDataCol="1"/>
  <pivotFields count="13"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3">
        <item n="01-11-2020" x="0"/>
        <item h="1" x="1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/>
    <pivotField showAll="0"/>
    <pivotField showAll="0"/>
    <pivotField showAll="0"/>
    <pivotField dataField="1" showAll="0" sumSubtotal="1"/>
    <pivotField showAll="0"/>
    <pivotField showAll="0"/>
    <pivotField showAll="0"/>
    <pivotField showAll="0"/>
    <pivotField dataField="1" showAll="0"/>
  </pivotFields>
  <rowFields count="3">
    <field x="1"/>
    <field x="2"/>
    <field x="0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est Script Authoring Productivity" fld="7" baseField="1" baseItem="0"/>
    <dataField name="Sum of Test Execution Productivity" fld="12" baseField="1" baseItem="0"/>
  </dataFields>
  <formats count="4">
    <format dxfId="99">
      <pivotArea outline="0" collapsedLevelsAreSubtotals="1" fieldPosition="0"/>
    </format>
    <format dxfId="98">
      <pivotArea outline="0" collapsedLevelsAreSubtotals="1" fieldPosition="0"/>
    </format>
    <format dxfId="97">
      <pivotArea type="all" dataOnly="0" outline="0" fieldPosition="0"/>
    </format>
    <format dxfId="96">
      <pivotArea dataOnly="0" labelOnly="1" fieldPosition="0">
        <references count="1">
          <reference field="1" count="0"/>
        </references>
      </pivotArea>
    </format>
  </formats>
  <pivotTableStyleInfo name="PivotStyleLight17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vimal@maveric-systems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23"/>
  <sheetViews>
    <sheetView showGridLines="0" workbookViewId="0">
      <selection activeCell="A18" sqref="A18:F18"/>
    </sheetView>
  </sheetViews>
  <sheetFormatPr defaultRowHeight="16.5" customHeight="1" x14ac:dyDescent="0.2"/>
  <cols>
    <col min="1" max="1" width="14.85546875" style="4" customWidth="1"/>
    <col min="2" max="7" width="15.85546875" style="4" customWidth="1"/>
    <col min="8" max="8" width="10.5703125" style="4" customWidth="1"/>
    <col min="9" max="10" width="15" style="4" customWidth="1"/>
    <col min="11" max="11" width="11.140625" style="4" customWidth="1"/>
    <col min="12" max="12" width="11.28515625" style="4" customWidth="1"/>
    <col min="13" max="13" width="19.140625" style="4" bestFit="1" customWidth="1"/>
    <col min="14" max="14" width="18.140625" style="4" bestFit="1" customWidth="1"/>
    <col min="15" max="18" width="6" style="4" customWidth="1"/>
    <col min="19" max="19" width="5" style="4" customWidth="1"/>
    <col min="20" max="20" width="6" style="4" customWidth="1"/>
    <col min="21" max="22" width="5" style="4" customWidth="1"/>
    <col min="23" max="23" width="21.42578125" style="4" bestFit="1" customWidth="1"/>
    <col min="24" max="24" width="9.140625" style="4"/>
    <col min="25" max="25" width="12.140625" style="4" bestFit="1" customWidth="1"/>
    <col min="26" max="26" width="11.28515625" style="4" bestFit="1" customWidth="1"/>
    <col min="27" max="16384" width="9.140625" style="4"/>
  </cols>
  <sheetData>
    <row r="2" spans="1:10" ht="16.5" customHeight="1" x14ac:dyDescent="0.2">
      <c r="A2" s="239" t="s">
        <v>156</v>
      </c>
      <c r="B2" s="239"/>
      <c r="C2" s="239"/>
      <c r="D2" s="239"/>
      <c r="E2" s="239"/>
      <c r="F2" s="239"/>
      <c r="G2" s="239"/>
      <c r="H2" s="239"/>
      <c r="I2" s="239"/>
      <c r="J2" s="239"/>
    </row>
    <row r="3" spans="1:10" ht="16.5" hidden="1" customHeight="1" x14ac:dyDescent="0.2">
      <c r="A3" s="5" t="s">
        <v>150</v>
      </c>
      <c r="B3" s="5" t="s">
        <v>47</v>
      </c>
      <c r="C3" s="5" t="s">
        <v>1</v>
      </c>
      <c r="D3" s="5"/>
      <c r="E3" s="5"/>
      <c r="F3" s="5"/>
      <c r="G3" s="5"/>
      <c r="H3" s="5"/>
    </row>
    <row r="4" spans="1:10" ht="16.5" customHeight="1" x14ac:dyDescent="0.2">
      <c r="A4" s="5"/>
      <c r="B4" s="238" t="s">
        <v>56</v>
      </c>
      <c r="C4" s="239" t="s">
        <v>56</v>
      </c>
      <c r="D4" s="239" t="s">
        <v>56</v>
      </c>
      <c r="E4" s="238" t="s">
        <v>69</v>
      </c>
      <c r="F4" s="239" t="s">
        <v>69</v>
      </c>
      <c r="G4" s="239" t="s">
        <v>69</v>
      </c>
      <c r="H4" s="238" t="s">
        <v>149</v>
      </c>
      <c r="I4" s="239" t="s">
        <v>152</v>
      </c>
      <c r="J4" s="239"/>
    </row>
    <row r="5" spans="1:10" ht="16.5" customHeight="1" x14ac:dyDescent="0.2">
      <c r="A5" s="6" t="s">
        <v>18</v>
      </c>
      <c r="B5" s="7" t="s">
        <v>71</v>
      </c>
      <c r="C5" s="7" t="s">
        <v>64</v>
      </c>
      <c r="D5" s="7" t="s">
        <v>58</v>
      </c>
      <c r="E5" s="7" t="s">
        <v>71</v>
      </c>
      <c r="F5" s="7" t="s">
        <v>64</v>
      </c>
      <c r="G5" s="7" t="s">
        <v>58</v>
      </c>
      <c r="H5" s="237"/>
      <c r="I5" s="8" t="s">
        <v>56</v>
      </c>
      <c r="J5" s="8" t="s">
        <v>69</v>
      </c>
    </row>
    <row r="6" spans="1:10" ht="16.5" customHeight="1" x14ac:dyDescent="0.25">
      <c r="A6" s="6" t="s">
        <v>21</v>
      </c>
      <c r="B6" s="9">
        <v>2</v>
      </c>
      <c r="C6" s="9">
        <v>5</v>
      </c>
      <c r="D6" s="10">
        <v>2</v>
      </c>
      <c r="E6" s="11">
        <v>4</v>
      </c>
      <c r="F6" s="11">
        <v>1</v>
      </c>
      <c r="G6" s="12">
        <v>2</v>
      </c>
      <c r="H6" s="9">
        <v>16</v>
      </c>
      <c r="I6" s="13">
        <f>$D6/SUM($B$6:$D$6)</f>
        <v>0.22222222222222221</v>
      </c>
      <c r="J6" s="13">
        <f>$G6/SUM($E$8:$G$8)</f>
        <v>0.18181818181818182</v>
      </c>
    </row>
    <row r="7" spans="1:10" ht="16.5" customHeight="1" x14ac:dyDescent="0.25">
      <c r="A7" s="6" t="s">
        <v>34</v>
      </c>
      <c r="B7" s="9">
        <v>1</v>
      </c>
      <c r="C7" s="9">
        <v>4</v>
      </c>
      <c r="D7" s="10"/>
      <c r="E7" s="11"/>
      <c r="F7" s="11"/>
      <c r="G7" s="12">
        <v>4</v>
      </c>
      <c r="H7" s="9">
        <v>9</v>
      </c>
      <c r="I7" s="13">
        <f>$D7/SUM($B$8:$D$8)</f>
        <v>0</v>
      </c>
      <c r="J7" s="13">
        <f>$G7/SUM($E$8:$G$8)</f>
        <v>0.36363636363636365</v>
      </c>
    </row>
    <row r="8" spans="1:10" ht="16.5" customHeight="1" x14ac:dyDescent="0.2">
      <c r="A8" s="6" t="s">
        <v>149</v>
      </c>
      <c r="B8" s="9">
        <v>3</v>
      </c>
      <c r="C8" s="9">
        <v>9</v>
      </c>
      <c r="D8" s="9">
        <v>2</v>
      </c>
      <c r="E8" s="11">
        <v>4</v>
      </c>
      <c r="F8" s="11">
        <v>1</v>
      </c>
      <c r="G8" s="11">
        <v>6</v>
      </c>
      <c r="H8" s="9">
        <v>25</v>
      </c>
      <c r="I8" s="13">
        <f>$D8/SUM($B$8:$D$8)</f>
        <v>0.14285714285714285</v>
      </c>
      <c r="J8" s="13">
        <f>$G8/SUM($E$8:$G$8)</f>
        <v>0.54545454545454541</v>
      </c>
    </row>
    <row r="10" spans="1:10" ht="16.5" hidden="1" customHeight="1" x14ac:dyDescent="0.2">
      <c r="A10" s="5" t="s">
        <v>151</v>
      </c>
      <c r="B10" s="5" t="s">
        <v>47</v>
      </c>
      <c r="C10" s="5" t="s">
        <v>1</v>
      </c>
      <c r="D10" s="5"/>
      <c r="E10" s="5"/>
      <c r="F10" s="5"/>
      <c r="G10" s="5"/>
      <c r="H10" s="5"/>
    </row>
    <row r="11" spans="1:10" ht="16.5" customHeight="1" x14ac:dyDescent="0.2">
      <c r="A11" s="5"/>
      <c r="B11" s="238" t="s">
        <v>56</v>
      </c>
      <c r="C11" s="238"/>
      <c r="D11" s="238"/>
      <c r="E11" s="238" t="s">
        <v>69</v>
      </c>
      <c r="F11" s="238"/>
      <c r="G11" s="238"/>
      <c r="H11" s="238" t="s">
        <v>149</v>
      </c>
      <c r="I11" s="240" t="s">
        <v>153</v>
      </c>
      <c r="J11" s="239"/>
    </row>
    <row r="12" spans="1:10" ht="16.5" customHeight="1" x14ac:dyDescent="0.2">
      <c r="A12" s="5" t="s">
        <v>18</v>
      </c>
      <c r="B12" s="7" t="s">
        <v>71</v>
      </c>
      <c r="C12" s="7" t="s">
        <v>64</v>
      </c>
      <c r="D12" s="7" t="s">
        <v>58</v>
      </c>
      <c r="E12" s="7" t="s">
        <v>71</v>
      </c>
      <c r="F12" s="7" t="s">
        <v>64</v>
      </c>
      <c r="G12" s="7" t="s">
        <v>58</v>
      </c>
      <c r="H12" s="238"/>
      <c r="I12" s="8" t="s">
        <v>56</v>
      </c>
      <c r="J12" s="8" t="s">
        <v>69</v>
      </c>
    </row>
    <row r="13" spans="1:10" ht="16.5" customHeight="1" x14ac:dyDescent="0.2">
      <c r="A13" s="7" t="s">
        <v>21</v>
      </c>
      <c r="B13" s="14">
        <v>52250</v>
      </c>
      <c r="C13" s="14">
        <v>209000</v>
      </c>
      <c r="D13" s="15">
        <v>91500</v>
      </c>
      <c r="E13" s="14">
        <v>62202</v>
      </c>
      <c r="F13" s="14">
        <v>90595</v>
      </c>
      <c r="G13" s="15">
        <v>12500</v>
      </c>
      <c r="H13" s="14">
        <v>518047</v>
      </c>
      <c r="I13" s="16">
        <f>SUM(C13:D13)</f>
        <v>300500</v>
      </c>
      <c r="J13" s="16">
        <f>SUM(F13:G13)</f>
        <v>103095</v>
      </c>
    </row>
    <row r="14" spans="1:10" ht="16.5" customHeight="1" x14ac:dyDescent="0.2">
      <c r="A14" s="7" t="s">
        <v>34</v>
      </c>
      <c r="B14" s="14">
        <v>140000</v>
      </c>
      <c r="C14" s="14">
        <v>79000</v>
      </c>
      <c r="D14" s="15"/>
      <c r="E14" s="14"/>
      <c r="F14" s="14"/>
      <c r="G14" s="15">
        <v>26120</v>
      </c>
      <c r="H14" s="14">
        <v>245120</v>
      </c>
      <c r="I14" s="16">
        <f>SUM(C14:D14)</f>
        <v>79000</v>
      </c>
      <c r="J14" s="16">
        <f>SUM(F14:G14)</f>
        <v>26120</v>
      </c>
    </row>
    <row r="15" spans="1:10" ht="16.5" customHeight="1" x14ac:dyDescent="0.2">
      <c r="A15" s="7" t="s">
        <v>149</v>
      </c>
      <c r="B15" s="14">
        <v>192250</v>
      </c>
      <c r="C15" s="14">
        <v>288000</v>
      </c>
      <c r="D15" s="14">
        <v>91500</v>
      </c>
      <c r="E15" s="14">
        <v>62202</v>
      </c>
      <c r="F15" s="14">
        <v>90595</v>
      </c>
      <c r="G15" s="14">
        <v>38620</v>
      </c>
      <c r="H15" s="14">
        <v>763167</v>
      </c>
      <c r="I15" s="16">
        <f>SUM(C15:D15)</f>
        <v>379500</v>
      </c>
      <c r="J15" s="16">
        <f>SUM(F15:G15)</f>
        <v>129215</v>
      </c>
    </row>
    <row r="17" spans="1:6" ht="16.5" hidden="1" customHeight="1" x14ac:dyDescent="0.2">
      <c r="A17" s="4" t="s">
        <v>1</v>
      </c>
      <c r="B17" s="4" t="s">
        <v>58</v>
      </c>
    </row>
    <row r="18" spans="1:6" ht="16.5" customHeight="1" x14ac:dyDescent="0.2">
      <c r="A18" s="237" t="s">
        <v>155</v>
      </c>
      <c r="B18" s="237"/>
      <c r="C18" s="237"/>
      <c r="D18" s="237"/>
      <c r="E18" s="237"/>
      <c r="F18" s="237"/>
    </row>
    <row r="19" spans="1:6" ht="16.5" hidden="1" customHeight="1" x14ac:dyDescent="0.2">
      <c r="A19" s="5" t="s">
        <v>154</v>
      </c>
      <c r="B19" s="5" t="s">
        <v>47</v>
      </c>
      <c r="C19" s="5"/>
      <c r="D19" s="5"/>
      <c r="E19" s="237"/>
      <c r="F19" s="237"/>
    </row>
    <row r="20" spans="1:6" ht="16.5" customHeight="1" x14ac:dyDescent="0.2">
      <c r="A20" s="6" t="s">
        <v>18</v>
      </c>
      <c r="B20" s="7" t="s">
        <v>56</v>
      </c>
      <c r="C20" s="7" t="s">
        <v>69</v>
      </c>
      <c r="D20" s="7" t="s">
        <v>149</v>
      </c>
      <c r="E20" s="8" t="s">
        <v>56</v>
      </c>
      <c r="F20" s="8" t="s">
        <v>69</v>
      </c>
    </row>
    <row r="21" spans="1:6" ht="16.5" customHeight="1" x14ac:dyDescent="0.2">
      <c r="A21" s="6" t="s">
        <v>21</v>
      </c>
      <c r="B21" s="14">
        <v>43665</v>
      </c>
      <c r="C21" s="14">
        <v>5665</v>
      </c>
      <c r="D21" s="14">
        <v>49330</v>
      </c>
      <c r="E21" s="17">
        <f>IFERROR(B21/D13,0)</f>
        <v>0.47721311475409833</v>
      </c>
      <c r="F21" s="17">
        <f>IFERROR(C21/G13,0)</f>
        <v>0.45319999999999999</v>
      </c>
    </row>
    <row r="22" spans="1:6" ht="16.5" customHeight="1" x14ac:dyDescent="0.2">
      <c r="A22" s="6" t="s">
        <v>34</v>
      </c>
      <c r="B22" s="14"/>
      <c r="C22" s="14">
        <v>16082.85</v>
      </c>
      <c r="D22" s="14">
        <v>16082.85</v>
      </c>
      <c r="E22" s="17">
        <f>IFERROR(B22/D14,0)</f>
        <v>0</v>
      </c>
      <c r="F22" s="17">
        <f>IFERROR(C22/G14,0)</f>
        <v>0.61572932618683007</v>
      </c>
    </row>
    <row r="23" spans="1:6" ht="16.5" customHeight="1" x14ac:dyDescent="0.2">
      <c r="A23" s="6" t="s">
        <v>149</v>
      </c>
      <c r="B23" s="14">
        <v>43665</v>
      </c>
      <c r="C23" s="14">
        <v>21747.85</v>
      </c>
      <c r="D23" s="14">
        <v>65412.85</v>
      </c>
      <c r="E23" s="13">
        <f>IFERROR(B23/D15,0)</f>
        <v>0.47721311475409833</v>
      </c>
      <c r="F23" s="13">
        <f>IFERROR(C23/G15,0)</f>
        <v>0.56312402900051783</v>
      </c>
    </row>
  </sheetData>
  <mergeCells count="11">
    <mergeCell ref="E19:F19"/>
    <mergeCell ref="B11:D11"/>
    <mergeCell ref="A18:F18"/>
    <mergeCell ref="A2:J2"/>
    <mergeCell ref="B4:D4"/>
    <mergeCell ref="E4:G4"/>
    <mergeCell ref="H4:H5"/>
    <mergeCell ref="H11:H12"/>
    <mergeCell ref="E11:G11"/>
    <mergeCell ref="I11:J11"/>
    <mergeCell ref="I4:J4"/>
  </mergeCells>
  <pageMargins left="0.7" right="0.7" top="0.75" bottom="0.75" header="0.3" footer="0.3"/>
  <pageSetup orientation="portrait" horizontalDpi="300" verticalDpi="30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4"/>
  <sheetViews>
    <sheetView showGridLines="0" topLeftCell="K1" workbookViewId="0">
      <pane ySplit="2" topLeftCell="A10" activePane="bottomLeft" state="frozen"/>
      <selection activeCell="S8" sqref="S8:S40"/>
      <selection pane="bottomLeft" activeCell="K28" sqref="K28"/>
    </sheetView>
  </sheetViews>
  <sheetFormatPr defaultRowHeight="12.75" x14ac:dyDescent="0.2"/>
  <cols>
    <col min="1" max="1" width="5" style="54" customWidth="1"/>
    <col min="2" max="2" width="4.5703125" style="54" bestFit="1" customWidth="1"/>
    <col min="3" max="3" width="49.28515625" style="54" bestFit="1" customWidth="1"/>
    <col min="4" max="4" width="45.28515625" style="54" bestFit="1" customWidth="1"/>
    <col min="5" max="5" width="14" style="54" bestFit="1" customWidth="1"/>
    <col min="6" max="6" width="4.7109375" style="54" bestFit="1" customWidth="1"/>
    <col min="7" max="7" width="10.140625" style="54" bestFit="1" customWidth="1"/>
    <col min="8" max="8" width="11.140625" style="54" bestFit="1" customWidth="1"/>
    <col min="9" max="9" width="19.5703125" style="54" bestFit="1" customWidth="1"/>
    <col min="10" max="10" width="16.28515625" style="54" customWidth="1"/>
    <col min="11" max="11" width="9" style="54" bestFit="1" customWidth="1"/>
    <col min="12" max="12" width="17.42578125" style="54" bestFit="1" customWidth="1"/>
    <col min="13" max="13" width="18.7109375" style="54" bestFit="1" customWidth="1"/>
    <col min="14" max="14" width="24" style="54" bestFit="1" customWidth="1"/>
    <col min="15" max="15" width="18.85546875" style="54" bestFit="1" customWidth="1"/>
    <col min="16" max="16" width="14.5703125" style="54" bestFit="1" customWidth="1"/>
    <col min="17" max="17" width="12.42578125" style="56" bestFit="1" customWidth="1"/>
    <col min="18" max="18" width="13.5703125" style="54" bestFit="1" customWidth="1"/>
    <col min="19" max="19" width="11.7109375" style="54" bestFit="1" customWidth="1"/>
    <col min="20" max="20" width="7.140625" style="54" bestFit="1" customWidth="1"/>
    <col min="21" max="22" width="5.7109375" style="54" bestFit="1" customWidth="1"/>
    <col min="23" max="23" width="6.85546875" style="54" bestFit="1" customWidth="1"/>
    <col min="24" max="25" width="6.140625" style="54" bestFit="1" customWidth="1"/>
    <col min="26" max="26" width="4.85546875" style="54" bestFit="1" customWidth="1"/>
    <col min="27" max="27" width="40.42578125" style="54" bestFit="1" customWidth="1"/>
    <col min="28" max="16384" width="9.140625" style="54"/>
  </cols>
  <sheetData>
    <row r="1" spans="1:27" ht="15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101"/>
      <c r="R1" s="75"/>
      <c r="S1" s="75"/>
      <c r="T1" s="75"/>
      <c r="U1" s="75"/>
      <c r="V1" s="75"/>
      <c r="W1" s="75"/>
      <c r="X1" s="75"/>
      <c r="Y1" s="75"/>
      <c r="Z1" s="75"/>
      <c r="AA1" s="75"/>
    </row>
    <row r="2" spans="1:27" ht="21" customHeight="1" x14ac:dyDescent="0.25">
      <c r="A2" s="75"/>
      <c r="B2" s="76" t="s">
        <v>0</v>
      </c>
      <c r="C2" s="76" t="s">
        <v>136</v>
      </c>
      <c r="D2" s="76" t="s">
        <v>48</v>
      </c>
      <c r="E2" s="76" t="s">
        <v>44</v>
      </c>
      <c r="F2" s="76" t="s">
        <v>45</v>
      </c>
      <c r="G2" s="76" t="s">
        <v>46</v>
      </c>
      <c r="H2" s="76" t="s">
        <v>18</v>
      </c>
      <c r="I2" s="76" t="s">
        <v>162</v>
      </c>
      <c r="J2" s="76" t="s">
        <v>47</v>
      </c>
      <c r="K2" s="76" t="s">
        <v>1</v>
      </c>
      <c r="L2" s="76" t="s">
        <v>116</v>
      </c>
      <c r="M2" s="76" t="s">
        <v>121</v>
      </c>
      <c r="N2" s="76" t="s">
        <v>135</v>
      </c>
      <c r="O2" s="76" t="s">
        <v>117</v>
      </c>
      <c r="P2" s="76" t="s">
        <v>126</v>
      </c>
      <c r="Q2" s="76" t="s">
        <v>195</v>
      </c>
      <c r="R2" s="76" t="s">
        <v>42</v>
      </c>
      <c r="S2" s="76" t="s">
        <v>41</v>
      </c>
      <c r="T2" s="102" t="s">
        <v>142</v>
      </c>
      <c r="U2" s="76" t="s">
        <v>122</v>
      </c>
      <c r="V2" s="76" t="s">
        <v>124</v>
      </c>
      <c r="W2" s="76" t="s">
        <v>143</v>
      </c>
      <c r="X2" s="76" t="s">
        <v>123</v>
      </c>
      <c r="Y2" s="76" t="s">
        <v>125</v>
      </c>
      <c r="Z2" s="76" t="s">
        <v>51</v>
      </c>
      <c r="AA2" s="76" t="s">
        <v>50</v>
      </c>
    </row>
    <row r="3" spans="1:27" ht="15" x14ac:dyDescent="0.25">
      <c r="A3" s="75"/>
      <c r="B3" s="58">
        <v>1</v>
      </c>
      <c r="C3" s="57" t="str">
        <f>CONCATENATE(E3,"_",D3)</f>
        <v>ABC_Mobile Banking</v>
      </c>
      <c r="D3" s="59" t="s">
        <v>57</v>
      </c>
      <c r="E3" s="57" t="s">
        <v>52</v>
      </c>
      <c r="F3" s="58" t="s">
        <v>53</v>
      </c>
      <c r="G3" s="58" t="s">
        <v>54</v>
      </c>
      <c r="H3" s="58" t="s">
        <v>21</v>
      </c>
      <c r="I3" s="59" t="s">
        <v>55</v>
      </c>
      <c r="J3" s="59" t="s">
        <v>56</v>
      </c>
      <c r="K3" s="60" t="s">
        <v>58</v>
      </c>
      <c r="L3" s="61"/>
      <c r="M3" s="61" t="s">
        <v>134</v>
      </c>
      <c r="N3" s="62"/>
      <c r="O3" s="61"/>
      <c r="P3" s="58" t="s">
        <v>163</v>
      </c>
      <c r="Q3" s="63">
        <v>50000</v>
      </c>
      <c r="R3" s="64">
        <v>0.45</v>
      </c>
      <c r="S3" s="73">
        <f>Q3*R3</f>
        <v>22500</v>
      </c>
      <c r="T3" s="61">
        <v>0</v>
      </c>
      <c r="U3" s="58">
        <v>0</v>
      </c>
      <c r="V3" s="58">
        <v>2</v>
      </c>
      <c r="W3" s="58">
        <v>0</v>
      </c>
      <c r="X3" s="58">
        <v>0</v>
      </c>
      <c r="Y3" s="58">
        <v>0</v>
      </c>
      <c r="Z3" s="58">
        <f>SUM(T3:Y3)</f>
        <v>2</v>
      </c>
      <c r="AA3" s="59" t="s">
        <v>59</v>
      </c>
    </row>
    <row r="4" spans="1:27" ht="15" x14ac:dyDescent="0.25">
      <c r="A4" s="75"/>
      <c r="B4" s="58">
        <v>2</v>
      </c>
      <c r="C4" s="57" t="str">
        <f t="shared" ref="C4:C34" si="0">CONCATENATE(E4,"_",D4)</f>
        <v>Al Hilal_T24 - Core Banking</v>
      </c>
      <c r="D4" s="59" t="s">
        <v>63</v>
      </c>
      <c r="E4" s="57" t="s">
        <v>60</v>
      </c>
      <c r="F4" s="58" t="s">
        <v>61</v>
      </c>
      <c r="G4" s="58" t="s">
        <v>62</v>
      </c>
      <c r="H4" s="58" t="s">
        <v>34</v>
      </c>
      <c r="I4" s="59" t="s">
        <v>55</v>
      </c>
      <c r="J4" s="59" t="s">
        <v>56</v>
      </c>
      <c r="K4" s="65" t="s">
        <v>64</v>
      </c>
      <c r="L4" s="61"/>
      <c r="M4" s="61"/>
      <c r="N4" s="62"/>
      <c r="O4" s="61"/>
      <c r="P4" s="58" t="s">
        <v>127</v>
      </c>
      <c r="Q4" s="66">
        <v>0</v>
      </c>
      <c r="R4" s="67"/>
      <c r="S4" s="73">
        <f t="shared" ref="S4:S34" si="1">Q4*R4</f>
        <v>0</v>
      </c>
      <c r="T4" s="65"/>
      <c r="U4" s="65"/>
      <c r="V4" s="65"/>
      <c r="W4" s="65"/>
      <c r="X4" s="65"/>
      <c r="Y4" s="65"/>
      <c r="Z4" s="58">
        <f t="shared" ref="Z4:Z34" si="2">SUM(T4:Y4)</f>
        <v>0</v>
      </c>
      <c r="AA4" s="68"/>
    </row>
    <row r="5" spans="1:27" ht="15" x14ac:dyDescent="0.25">
      <c r="A5" s="75"/>
      <c r="B5" s="58">
        <v>3</v>
      </c>
      <c r="C5" s="57" t="str">
        <f t="shared" si="0"/>
        <v>Bank of Jordan_T24 - Core Banking</v>
      </c>
      <c r="D5" s="59" t="s">
        <v>63</v>
      </c>
      <c r="E5" s="57" t="s">
        <v>65</v>
      </c>
      <c r="F5" s="58" t="s">
        <v>53</v>
      </c>
      <c r="G5" s="58" t="s">
        <v>66</v>
      </c>
      <c r="H5" s="58" t="s">
        <v>34</v>
      </c>
      <c r="I5" s="59" t="s">
        <v>55</v>
      </c>
      <c r="J5" s="59" t="s">
        <v>56</v>
      </c>
      <c r="K5" s="69" t="s">
        <v>71</v>
      </c>
      <c r="L5" s="61"/>
      <c r="M5" s="61"/>
      <c r="N5" s="62"/>
      <c r="O5" s="61"/>
      <c r="P5" s="58" t="s">
        <v>127</v>
      </c>
      <c r="Q5" s="66">
        <v>0</v>
      </c>
      <c r="R5" s="67"/>
      <c r="S5" s="73">
        <f t="shared" si="1"/>
        <v>0</v>
      </c>
      <c r="T5" s="65"/>
      <c r="U5" s="65"/>
      <c r="V5" s="65"/>
      <c r="W5" s="65"/>
      <c r="X5" s="65"/>
      <c r="Y5" s="65"/>
      <c r="Z5" s="58">
        <f t="shared" si="2"/>
        <v>0</v>
      </c>
      <c r="AA5" s="68"/>
    </row>
    <row r="6" spans="1:27" ht="15" x14ac:dyDescent="0.25">
      <c r="A6" s="75"/>
      <c r="B6" s="58">
        <v>4</v>
      </c>
      <c r="C6" s="57" t="str">
        <f t="shared" si="0"/>
        <v>Bank Dhofar_CRM next</v>
      </c>
      <c r="D6" s="59" t="s">
        <v>70</v>
      </c>
      <c r="E6" s="57" t="s">
        <v>67</v>
      </c>
      <c r="F6" s="58" t="s">
        <v>61</v>
      </c>
      <c r="G6" s="58" t="s">
        <v>68</v>
      </c>
      <c r="H6" s="58" t="s">
        <v>21</v>
      </c>
      <c r="I6" s="59" t="s">
        <v>55</v>
      </c>
      <c r="J6" s="59" t="s">
        <v>69</v>
      </c>
      <c r="K6" s="69" t="s">
        <v>71</v>
      </c>
      <c r="L6" s="70">
        <v>43632</v>
      </c>
      <c r="M6" s="61"/>
      <c r="N6" s="71"/>
      <c r="O6" s="70"/>
      <c r="P6" s="58" t="s">
        <v>127</v>
      </c>
      <c r="Q6" s="63">
        <v>23502</v>
      </c>
      <c r="R6" s="72">
        <v>0.46</v>
      </c>
      <c r="S6" s="73">
        <f t="shared" si="1"/>
        <v>10810.92</v>
      </c>
      <c r="T6" s="61">
        <v>0</v>
      </c>
      <c r="U6" s="58">
        <v>1</v>
      </c>
      <c r="V6" s="58">
        <v>2</v>
      </c>
      <c r="W6" s="58">
        <v>0</v>
      </c>
      <c r="X6" s="58">
        <v>0</v>
      </c>
      <c r="Y6" s="58">
        <v>0</v>
      </c>
      <c r="Z6" s="58">
        <f t="shared" si="2"/>
        <v>3</v>
      </c>
      <c r="AA6" s="59"/>
    </row>
    <row r="7" spans="1:27" ht="15" x14ac:dyDescent="0.25">
      <c r="A7" s="75"/>
      <c r="B7" s="58">
        <v>5</v>
      </c>
      <c r="C7" s="57" t="str">
        <f t="shared" si="0"/>
        <v>BBK_Cash Management Solutions</v>
      </c>
      <c r="D7" s="59" t="s">
        <v>73</v>
      </c>
      <c r="E7" s="57" t="s">
        <v>72</v>
      </c>
      <c r="F7" s="58" t="s">
        <v>53</v>
      </c>
      <c r="G7" s="58" t="s">
        <v>54</v>
      </c>
      <c r="H7" s="58" t="s">
        <v>21</v>
      </c>
      <c r="I7" s="59" t="s">
        <v>55</v>
      </c>
      <c r="J7" s="59" t="s">
        <v>56</v>
      </c>
      <c r="K7" s="60" t="s">
        <v>58</v>
      </c>
      <c r="L7" s="61"/>
      <c r="M7" s="61" t="s">
        <v>133</v>
      </c>
      <c r="N7" s="62"/>
      <c r="O7" s="61"/>
      <c r="P7" s="58" t="s">
        <v>127</v>
      </c>
      <c r="Q7" s="73">
        <v>41500</v>
      </c>
      <c r="R7" s="72">
        <v>0.51</v>
      </c>
      <c r="S7" s="73">
        <f t="shared" si="1"/>
        <v>21165</v>
      </c>
      <c r="T7" s="61">
        <v>0</v>
      </c>
      <c r="U7" s="61">
        <v>1</v>
      </c>
      <c r="V7" s="61">
        <v>2</v>
      </c>
      <c r="W7" s="58">
        <v>0</v>
      </c>
      <c r="X7" s="58">
        <v>0</v>
      </c>
      <c r="Y7" s="58">
        <v>0</v>
      </c>
      <c r="Z7" s="58">
        <f t="shared" si="2"/>
        <v>3</v>
      </c>
      <c r="AA7" s="59" t="s">
        <v>74</v>
      </c>
    </row>
    <row r="8" spans="1:27" ht="15" x14ac:dyDescent="0.25">
      <c r="A8" s="75"/>
      <c r="B8" s="58">
        <v>6</v>
      </c>
      <c r="C8" s="57" t="str">
        <f t="shared" si="0"/>
        <v>BBK_Digital (Mobile, Tabloit, Internet Banking)</v>
      </c>
      <c r="D8" s="59" t="s">
        <v>75</v>
      </c>
      <c r="E8" s="57" t="s">
        <v>72</v>
      </c>
      <c r="F8" s="58" t="s">
        <v>53</v>
      </c>
      <c r="G8" s="58" t="s">
        <v>54</v>
      </c>
      <c r="H8" s="58" t="s">
        <v>21</v>
      </c>
      <c r="I8" s="59" t="s">
        <v>55</v>
      </c>
      <c r="J8" s="59" t="s">
        <v>56</v>
      </c>
      <c r="K8" s="65" t="s">
        <v>64</v>
      </c>
      <c r="L8" s="74">
        <v>43746</v>
      </c>
      <c r="M8" s="61"/>
      <c r="N8" s="62"/>
      <c r="O8" s="74"/>
      <c r="P8" s="58" t="s">
        <v>127</v>
      </c>
      <c r="Q8" s="73">
        <v>31850</v>
      </c>
      <c r="R8" s="72">
        <v>0.55000000000000004</v>
      </c>
      <c r="S8" s="73">
        <f t="shared" si="1"/>
        <v>17517.5</v>
      </c>
      <c r="T8" s="61">
        <v>0</v>
      </c>
      <c r="U8" s="61">
        <v>1</v>
      </c>
      <c r="V8" s="61">
        <v>2</v>
      </c>
      <c r="W8" s="58">
        <v>0</v>
      </c>
      <c r="X8" s="58">
        <v>0</v>
      </c>
      <c r="Y8" s="58">
        <v>0</v>
      </c>
      <c r="Z8" s="58">
        <f t="shared" si="2"/>
        <v>3</v>
      </c>
      <c r="AA8" s="59"/>
    </row>
    <row r="9" spans="1:27" ht="15" x14ac:dyDescent="0.25">
      <c r="A9" s="75"/>
      <c r="B9" s="58">
        <v>7</v>
      </c>
      <c r="C9" s="57" t="str">
        <f t="shared" si="0"/>
        <v>CBD_Mobile Banking, CRM, Customer onboarding</v>
      </c>
      <c r="D9" s="59" t="s">
        <v>78</v>
      </c>
      <c r="E9" s="57" t="s">
        <v>76</v>
      </c>
      <c r="F9" s="58" t="s">
        <v>53</v>
      </c>
      <c r="G9" s="58" t="s">
        <v>77</v>
      </c>
      <c r="H9" s="58" t="s">
        <v>21</v>
      </c>
      <c r="I9" s="59" t="s">
        <v>55</v>
      </c>
      <c r="J9" s="59" t="s">
        <v>69</v>
      </c>
      <c r="K9" s="65" t="s">
        <v>64</v>
      </c>
      <c r="L9" s="70">
        <v>43658</v>
      </c>
      <c r="M9" s="61"/>
      <c r="N9" s="71"/>
      <c r="O9" s="70"/>
      <c r="P9" s="58" t="s">
        <v>127</v>
      </c>
      <c r="Q9" s="63">
        <v>90595</v>
      </c>
      <c r="R9" s="72">
        <v>0.53</v>
      </c>
      <c r="S9" s="73">
        <f t="shared" si="1"/>
        <v>48015.350000000006</v>
      </c>
      <c r="T9" s="61">
        <v>0</v>
      </c>
      <c r="U9" s="58">
        <v>1</v>
      </c>
      <c r="V9" s="58">
        <v>3</v>
      </c>
      <c r="W9" s="58">
        <v>0</v>
      </c>
      <c r="X9" s="58">
        <v>0</v>
      </c>
      <c r="Y9" s="58">
        <v>0</v>
      </c>
      <c r="Z9" s="58">
        <f t="shared" si="2"/>
        <v>4</v>
      </c>
      <c r="AA9" s="59"/>
    </row>
    <row r="10" spans="1:27" ht="15" x14ac:dyDescent="0.25">
      <c r="A10" s="75"/>
      <c r="B10" s="58">
        <v>8</v>
      </c>
      <c r="C10" s="57" t="str">
        <f t="shared" si="0"/>
        <v>CIB_EXUS Collection Systems</v>
      </c>
      <c r="D10" s="59" t="s">
        <v>80</v>
      </c>
      <c r="E10" s="57" t="s">
        <v>12</v>
      </c>
      <c r="F10" s="58" t="s">
        <v>61</v>
      </c>
      <c r="G10" s="58" t="s">
        <v>79</v>
      </c>
      <c r="H10" s="58" t="s">
        <v>34</v>
      </c>
      <c r="I10" s="59" t="s">
        <v>55</v>
      </c>
      <c r="J10" s="59" t="s">
        <v>56</v>
      </c>
      <c r="K10" s="65" t="s">
        <v>64</v>
      </c>
      <c r="L10" s="70">
        <v>43709</v>
      </c>
      <c r="M10" s="61"/>
      <c r="N10" s="71"/>
      <c r="O10" s="70"/>
      <c r="P10" s="58" t="s">
        <v>132</v>
      </c>
      <c r="Q10" s="63">
        <v>15000</v>
      </c>
      <c r="R10" s="72">
        <v>0.49</v>
      </c>
      <c r="S10" s="73">
        <f t="shared" si="1"/>
        <v>7350</v>
      </c>
      <c r="T10" s="61">
        <v>0</v>
      </c>
      <c r="U10" s="58">
        <v>1</v>
      </c>
      <c r="V10" s="58">
        <v>1</v>
      </c>
      <c r="W10" s="58">
        <v>0</v>
      </c>
      <c r="X10" s="58">
        <v>0</v>
      </c>
      <c r="Y10" s="58">
        <v>0</v>
      </c>
      <c r="Z10" s="58">
        <f t="shared" si="2"/>
        <v>2</v>
      </c>
      <c r="AA10" s="59"/>
    </row>
    <row r="11" spans="1:27" ht="15" x14ac:dyDescent="0.25">
      <c r="A11" s="75"/>
      <c r="B11" s="58">
        <v>9</v>
      </c>
      <c r="C11" s="57" t="str">
        <f t="shared" si="0"/>
        <v>Ithmaar_Liability, CRM, Collection, MB</v>
      </c>
      <c r="D11" s="59" t="s">
        <v>82</v>
      </c>
      <c r="E11" s="57" t="s">
        <v>81</v>
      </c>
      <c r="F11" s="58" t="s">
        <v>61</v>
      </c>
      <c r="G11" s="58" t="s">
        <v>54</v>
      </c>
      <c r="H11" s="58" t="s">
        <v>21</v>
      </c>
      <c r="I11" s="59" t="s">
        <v>55</v>
      </c>
      <c r="J11" s="59" t="s">
        <v>56</v>
      </c>
      <c r="K11" s="69" t="s">
        <v>71</v>
      </c>
      <c r="L11" s="70">
        <v>43676</v>
      </c>
      <c r="M11" s="61"/>
      <c r="N11" s="71"/>
      <c r="O11" s="70"/>
      <c r="P11" s="58" t="s">
        <v>127</v>
      </c>
      <c r="Q11" s="63">
        <v>44250</v>
      </c>
      <c r="R11" s="72">
        <v>0.53</v>
      </c>
      <c r="S11" s="73">
        <f t="shared" si="1"/>
        <v>23452.5</v>
      </c>
      <c r="T11" s="61">
        <v>0</v>
      </c>
      <c r="U11" s="58">
        <v>1</v>
      </c>
      <c r="V11" s="58">
        <v>3</v>
      </c>
      <c r="W11" s="58">
        <v>0</v>
      </c>
      <c r="X11" s="58">
        <v>0</v>
      </c>
      <c r="Y11" s="58">
        <v>0</v>
      </c>
      <c r="Z11" s="58">
        <f t="shared" si="2"/>
        <v>4</v>
      </c>
      <c r="AA11" s="59"/>
    </row>
    <row r="12" spans="1:27" ht="15" x14ac:dyDescent="0.25">
      <c r="A12" s="75"/>
      <c r="B12" s="58">
        <v>10</v>
      </c>
      <c r="C12" s="57" t="str">
        <f t="shared" si="0"/>
        <v>QNB_Public Site</v>
      </c>
      <c r="D12" s="59" t="s">
        <v>85</v>
      </c>
      <c r="E12" s="57" t="s">
        <v>83</v>
      </c>
      <c r="F12" s="58" t="s">
        <v>61</v>
      </c>
      <c r="G12" s="58" t="s">
        <v>84</v>
      </c>
      <c r="H12" s="58" t="s">
        <v>21</v>
      </c>
      <c r="I12" s="59" t="s">
        <v>55</v>
      </c>
      <c r="J12" s="59" t="s">
        <v>69</v>
      </c>
      <c r="K12" s="69" t="s">
        <v>71</v>
      </c>
      <c r="L12" s="70">
        <v>43697</v>
      </c>
      <c r="M12" s="61"/>
      <c r="N12" s="71"/>
      <c r="O12" s="70"/>
      <c r="P12" s="58" t="s">
        <v>127</v>
      </c>
      <c r="Q12" s="63">
        <v>18000</v>
      </c>
      <c r="R12" s="72">
        <v>0.5</v>
      </c>
      <c r="S12" s="73">
        <f t="shared" si="1"/>
        <v>9000</v>
      </c>
      <c r="T12" s="61">
        <v>0</v>
      </c>
      <c r="U12" s="58">
        <v>1</v>
      </c>
      <c r="V12" s="58">
        <v>2</v>
      </c>
      <c r="W12" s="58">
        <v>0</v>
      </c>
      <c r="X12" s="58">
        <v>0</v>
      </c>
      <c r="Y12" s="58">
        <v>0</v>
      </c>
      <c r="Z12" s="58">
        <f t="shared" si="2"/>
        <v>3</v>
      </c>
      <c r="AA12" s="59"/>
    </row>
    <row r="13" spans="1:27" ht="15" x14ac:dyDescent="0.25">
      <c r="A13" s="75"/>
      <c r="B13" s="58">
        <v>11</v>
      </c>
      <c r="C13" s="57" t="str">
        <f t="shared" si="0"/>
        <v>SABB_Cortex, Cards400, HUB</v>
      </c>
      <c r="D13" s="59" t="s">
        <v>88</v>
      </c>
      <c r="E13" s="57" t="s">
        <v>86</v>
      </c>
      <c r="F13" s="58" t="s">
        <v>61</v>
      </c>
      <c r="G13" s="58" t="s">
        <v>87</v>
      </c>
      <c r="H13" s="58" t="s">
        <v>34</v>
      </c>
      <c r="I13" s="59" t="s">
        <v>55</v>
      </c>
      <c r="J13" s="59" t="s">
        <v>56</v>
      </c>
      <c r="K13" s="69" t="s">
        <v>71</v>
      </c>
      <c r="L13" s="70">
        <v>43767</v>
      </c>
      <c r="M13" s="61"/>
      <c r="N13" s="71"/>
      <c r="O13" s="70"/>
      <c r="P13" s="58" t="s">
        <v>127</v>
      </c>
      <c r="Q13" s="63">
        <v>140000</v>
      </c>
      <c r="R13" s="72">
        <v>0.47</v>
      </c>
      <c r="S13" s="73">
        <f t="shared" si="1"/>
        <v>65800</v>
      </c>
      <c r="T13" s="61">
        <v>0</v>
      </c>
      <c r="U13" s="58">
        <v>1</v>
      </c>
      <c r="V13" s="58">
        <v>4</v>
      </c>
      <c r="W13" s="58">
        <v>0</v>
      </c>
      <c r="X13" s="58">
        <v>0</v>
      </c>
      <c r="Y13" s="58">
        <v>0</v>
      </c>
      <c r="Z13" s="58">
        <f t="shared" si="2"/>
        <v>5</v>
      </c>
      <c r="AA13" s="59" t="s">
        <v>89</v>
      </c>
    </row>
    <row r="14" spans="1:27" ht="15" x14ac:dyDescent="0.25">
      <c r="A14" s="75"/>
      <c r="B14" s="58">
        <v>12</v>
      </c>
      <c r="C14" s="57" t="str">
        <f t="shared" si="0"/>
        <v>RAK_Middleware Upgrade</v>
      </c>
      <c r="D14" s="59" t="s">
        <v>91</v>
      </c>
      <c r="E14" s="57" t="s">
        <v>90</v>
      </c>
      <c r="F14" s="58" t="s">
        <v>61</v>
      </c>
      <c r="G14" s="58" t="s">
        <v>77</v>
      </c>
      <c r="H14" s="58" t="s">
        <v>21</v>
      </c>
      <c r="I14" s="59" t="s">
        <v>55</v>
      </c>
      <c r="J14" s="59" t="s">
        <v>56</v>
      </c>
      <c r="K14" s="69" t="s">
        <v>71</v>
      </c>
      <c r="L14" s="70">
        <v>43734</v>
      </c>
      <c r="M14" s="61"/>
      <c r="N14" s="71"/>
      <c r="O14" s="70"/>
      <c r="P14" s="58" t="s">
        <v>127</v>
      </c>
      <c r="Q14" s="63">
        <v>14875</v>
      </c>
      <c r="R14" s="72">
        <v>0.45</v>
      </c>
      <c r="S14" s="73">
        <f t="shared" si="1"/>
        <v>6693.75</v>
      </c>
      <c r="T14" s="61">
        <v>0</v>
      </c>
      <c r="U14" s="58">
        <v>0</v>
      </c>
      <c r="V14" s="58">
        <v>2</v>
      </c>
      <c r="W14" s="58">
        <v>0</v>
      </c>
      <c r="X14" s="58">
        <v>0</v>
      </c>
      <c r="Y14" s="58">
        <v>0</v>
      </c>
      <c r="Z14" s="58">
        <f t="shared" si="2"/>
        <v>2</v>
      </c>
      <c r="AA14" s="59"/>
    </row>
    <row r="15" spans="1:27" ht="15" x14ac:dyDescent="0.25">
      <c r="A15" s="75"/>
      <c r="B15" s="58">
        <v>13</v>
      </c>
      <c r="C15" s="57" t="str">
        <f t="shared" si="0"/>
        <v>Ahli Bank_Mobile Banking</v>
      </c>
      <c r="D15" s="59" t="s">
        <v>57</v>
      </c>
      <c r="E15" s="57" t="s">
        <v>92</v>
      </c>
      <c r="F15" s="58" t="s">
        <v>61</v>
      </c>
      <c r="G15" s="58" t="s">
        <v>84</v>
      </c>
      <c r="H15" s="58" t="s">
        <v>21</v>
      </c>
      <c r="I15" s="59" t="s">
        <v>55</v>
      </c>
      <c r="J15" s="59" t="s">
        <v>56</v>
      </c>
      <c r="K15" s="69" t="s">
        <v>71</v>
      </c>
      <c r="L15" s="61"/>
      <c r="M15" s="61"/>
      <c r="N15" s="62"/>
      <c r="O15" s="61"/>
      <c r="P15" s="58" t="s">
        <v>127</v>
      </c>
      <c r="Q15" s="73">
        <v>8000</v>
      </c>
      <c r="R15" s="72">
        <v>0.56999999999999995</v>
      </c>
      <c r="S15" s="73">
        <f t="shared" si="1"/>
        <v>4560</v>
      </c>
      <c r="T15" s="61">
        <v>0</v>
      </c>
      <c r="U15" s="61">
        <v>0</v>
      </c>
      <c r="V15" s="61">
        <v>1</v>
      </c>
      <c r="W15" s="58">
        <v>0</v>
      </c>
      <c r="X15" s="58">
        <v>0</v>
      </c>
      <c r="Y15" s="58">
        <v>0</v>
      </c>
      <c r="Z15" s="58">
        <f t="shared" si="2"/>
        <v>1</v>
      </c>
      <c r="AA15" s="59"/>
    </row>
    <row r="16" spans="1:27" ht="15" x14ac:dyDescent="0.25">
      <c r="A16" s="75"/>
      <c r="B16" s="58">
        <v>14</v>
      </c>
      <c r="C16" s="57" t="str">
        <f t="shared" si="0"/>
        <v>ANB_Mubasher Trade application</v>
      </c>
      <c r="D16" s="59" t="s">
        <v>94</v>
      </c>
      <c r="E16" s="57" t="s">
        <v>93</v>
      </c>
      <c r="F16" s="58" t="s">
        <v>61</v>
      </c>
      <c r="G16" s="58" t="s">
        <v>87</v>
      </c>
      <c r="H16" s="58" t="s">
        <v>34</v>
      </c>
      <c r="I16" s="59" t="s">
        <v>55</v>
      </c>
      <c r="J16" s="59" t="s">
        <v>69</v>
      </c>
      <c r="K16" s="60" t="s">
        <v>58</v>
      </c>
      <c r="L16" s="74">
        <v>43747</v>
      </c>
      <c r="M16" s="61" t="s">
        <v>133</v>
      </c>
      <c r="N16" s="62"/>
      <c r="O16" s="74"/>
      <c r="P16" s="58" t="s">
        <v>127</v>
      </c>
      <c r="Q16" s="73">
        <v>11850</v>
      </c>
      <c r="R16" s="72">
        <v>0.6</v>
      </c>
      <c r="S16" s="73">
        <f t="shared" si="1"/>
        <v>7110</v>
      </c>
      <c r="T16" s="61">
        <v>0</v>
      </c>
      <c r="U16" s="61">
        <v>1</v>
      </c>
      <c r="V16" s="61">
        <v>1</v>
      </c>
      <c r="W16" s="58">
        <v>0</v>
      </c>
      <c r="X16" s="58">
        <v>0</v>
      </c>
      <c r="Y16" s="58">
        <v>0</v>
      </c>
      <c r="Z16" s="58">
        <f t="shared" si="2"/>
        <v>2</v>
      </c>
      <c r="AA16" s="59" t="s">
        <v>95</v>
      </c>
    </row>
    <row r="17" spans="1:27" ht="15" x14ac:dyDescent="0.25">
      <c r="A17" s="75"/>
      <c r="B17" s="58">
        <v>15</v>
      </c>
      <c r="C17" s="57" t="str">
        <f t="shared" si="0"/>
        <v>ANB_Sahem IPO</v>
      </c>
      <c r="D17" s="59" t="s">
        <v>96</v>
      </c>
      <c r="E17" s="57" t="s">
        <v>93</v>
      </c>
      <c r="F17" s="58" t="s">
        <v>61</v>
      </c>
      <c r="G17" s="58" t="s">
        <v>87</v>
      </c>
      <c r="H17" s="58" t="s">
        <v>34</v>
      </c>
      <c r="I17" s="59" t="s">
        <v>55</v>
      </c>
      <c r="J17" s="59" t="s">
        <v>69</v>
      </c>
      <c r="K17" s="60" t="s">
        <v>58</v>
      </c>
      <c r="L17" s="74">
        <v>43755</v>
      </c>
      <c r="M17" s="61" t="s">
        <v>133</v>
      </c>
      <c r="N17" s="62">
        <v>10</v>
      </c>
      <c r="O17" s="74"/>
      <c r="P17" s="58" t="s">
        <v>127</v>
      </c>
      <c r="Q17" s="73">
        <v>2420</v>
      </c>
      <c r="R17" s="72">
        <v>0.63</v>
      </c>
      <c r="S17" s="73">
        <f t="shared" si="1"/>
        <v>1524.6</v>
      </c>
      <c r="T17" s="61">
        <v>0</v>
      </c>
      <c r="U17" s="61">
        <v>0</v>
      </c>
      <c r="V17" s="61">
        <v>2</v>
      </c>
      <c r="W17" s="58">
        <v>0</v>
      </c>
      <c r="X17" s="58">
        <v>0</v>
      </c>
      <c r="Y17" s="58">
        <v>0</v>
      </c>
      <c r="Z17" s="58">
        <f t="shared" si="2"/>
        <v>2</v>
      </c>
      <c r="AA17" s="59" t="s">
        <v>97</v>
      </c>
    </row>
    <row r="18" spans="1:27" ht="15" x14ac:dyDescent="0.25">
      <c r="A18" s="75"/>
      <c r="B18" s="58">
        <v>16</v>
      </c>
      <c r="C18" s="57" t="str">
        <f t="shared" si="0"/>
        <v>DIB_Oracle Forms Login Screen</v>
      </c>
      <c r="D18" s="59" t="s">
        <v>99</v>
      </c>
      <c r="E18" s="57" t="s">
        <v>98</v>
      </c>
      <c r="F18" s="58" t="s">
        <v>61</v>
      </c>
      <c r="G18" s="58" t="s">
        <v>77</v>
      </c>
      <c r="H18" s="58" t="s">
        <v>21</v>
      </c>
      <c r="I18" s="59" t="s">
        <v>55</v>
      </c>
      <c r="J18" s="59" t="s">
        <v>69</v>
      </c>
      <c r="K18" s="69" t="s">
        <v>71</v>
      </c>
      <c r="L18" s="74">
        <v>43752</v>
      </c>
      <c r="M18" s="61"/>
      <c r="N18" s="62"/>
      <c r="O18" s="74"/>
      <c r="P18" s="58" t="s">
        <v>127</v>
      </c>
      <c r="Q18" s="73">
        <v>3000</v>
      </c>
      <c r="R18" s="72">
        <v>0.41</v>
      </c>
      <c r="S18" s="73">
        <f t="shared" si="1"/>
        <v>1230</v>
      </c>
      <c r="T18" s="61">
        <v>0</v>
      </c>
      <c r="U18" s="61">
        <v>0</v>
      </c>
      <c r="V18" s="61">
        <v>2</v>
      </c>
      <c r="W18" s="58">
        <v>0</v>
      </c>
      <c r="X18" s="58">
        <v>0</v>
      </c>
      <c r="Y18" s="58">
        <v>0</v>
      </c>
      <c r="Z18" s="58">
        <f t="shared" si="2"/>
        <v>2</v>
      </c>
      <c r="AA18" s="59"/>
    </row>
    <row r="19" spans="1:27" ht="15" x14ac:dyDescent="0.25">
      <c r="A19" s="75"/>
      <c r="B19" s="58">
        <v>17</v>
      </c>
      <c r="C19" s="57" t="str">
        <f t="shared" si="0"/>
        <v>QNB_FIS Front Arena</v>
      </c>
      <c r="D19" s="59" t="s">
        <v>100</v>
      </c>
      <c r="E19" s="57" t="s">
        <v>83</v>
      </c>
      <c r="F19" s="58" t="s">
        <v>61</v>
      </c>
      <c r="G19" s="58" t="s">
        <v>84</v>
      </c>
      <c r="H19" s="58" t="s">
        <v>21</v>
      </c>
      <c r="I19" s="59" t="s">
        <v>55</v>
      </c>
      <c r="J19" s="59" t="s">
        <v>56</v>
      </c>
      <c r="K19" s="65" t="s">
        <v>64</v>
      </c>
      <c r="L19" s="74">
        <v>43750</v>
      </c>
      <c r="M19" s="61"/>
      <c r="N19" s="62"/>
      <c r="O19" s="74"/>
      <c r="P19" s="58" t="s">
        <v>127</v>
      </c>
      <c r="Q19" s="73">
        <v>60075</v>
      </c>
      <c r="R19" s="72">
        <v>0.62</v>
      </c>
      <c r="S19" s="73">
        <f t="shared" si="1"/>
        <v>37246.5</v>
      </c>
      <c r="T19" s="61">
        <v>0</v>
      </c>
      <c r="U19" s="61">
        <v>1</v>
      </c>
      <c r="V19" s="61">
        <v>2</v>
      </c>
      <c r="W19" s="58">
        <v>0</v>
      </c>
      <c r="X19" s="58">
        <v>0</v>
      </c>
      <c r="Y19" s="58">
        <v>0</v>
      </c>
      <c r="Z19" s="58">
        <f t="shared" si="2"/>
        <v>3</v>
      </c>
      <c r="AA19" s="59"/>
    </row>
    <row r="20" spans="1:27" ht="15" x14ac:dyDescent="0.25">
      <c r="A20" s="75"/>
      <c r="B20" s="58">
        <v>18</v>
      </c>
      <c r="C20" s="57" t="str">
        <f t="shared" si="0"/>
        <v>BAB_EIPO Portal</v>
      </c>
      <c r="D20" s="59" t="s">
        <v>101</v>
      </c>
      <c r="E20" s="57" t="s">
        <v>11</v>
      </c>
      <c r="F20" s="58" t="s">
        <v>61</v>
      </c>
      <c r="G20" s="58" t="s">
        <v>87</v>
      </c>
      <c r="H20" s="58" t="s">
        <v>34</v>
      </c>
      <c r="I20" s="59" t="s">
        <v>55</v>
      </c>
      <c r="J20" s="59" t="s">
        <v>69</v>
      </c>
      <c r="K20" s="60" t="s">
        <v>58</v>
      </c>
      <c r="L20" s="74">
        <v>43758</v>
      </c>
      <c r="M20" s="61" t="s">
        <v>133</v>
      </c>
      <c r="N20" s="62">
        <v>15</v>
      </c>
      <c r="O20" s="74">
        <v>43762</v>
      </c>
      <c r="P20" s="58" t="s">
        <v>127</v>
      </c>
      <c r="Q20" s="73">
        <v>4425</v>
      </c>
      <c r="R20" s="72">
        <v>0.71</v>
      </c>
      <c r="S20" s="73">
        <f t="shared" si="1"/>
        <v>3141.75</v>
      </c>
      <c r="T20" s="61">
        <v>0</v>
      </c>
      <c r="U20" s="61">
        <v>0</v>
      </c>
      <c r="V20" s="61">
        <v>1</v>
      </c>
      <c r="W20" s="58">
        <v>0</v>
      </c>
      <c r="X20" s="61">
        <v>0</v>
      </c>
      <c r="Y20" s="61">
        <v>0</v>
      </c>
      <c r="Z20" s="58">
        <f t="shared" si="2"/>
        <v>1</v>
      </c>
      <c r="AA20" s="59"/>
    </row>
    <row r="21" spans="1:27" ht="15" x14ac:dyDescent="0.25">
      <c r="A21" s="75"/>
      <c r="B21" s="58">
        <v>19</v>
      </c>
      <c r="C21" s="57" t="str">
        <f t="shared" si="0"/>
        <v>Alawwal_IPO Module (IB, MB, T24)</v>
      </c>
      <c r="D21" s="59" t="s">
        <v>103</v>
      </c>
      <c r="E21" s="57" t="s">
        <v>102</v>
      </c>
      <c r="F21" s="58" t="s">
        <v>61</v>
      </c>
      <c r="G21" s="58" t="s">
        <v>87</v>
      </c>
      <c r="H21" s="58" t="s">
        <v>34</v>
      </c>
      <c r="I21" s="59" t="s">
        <v>55</v>
      </c>
      <c r="J21" s="59" t="s">
        <v>69</v>
      </c>
      <c r="K21" s="60" t="s">
        <v>58</v>
      </c>
      <c r="L21" s="74">
        <v>43766</v>
      </c>
      <c r="M21" s="61" t="s">
        <v>134</v>
      </c>
      <c r="N21" s="62">
        <v>15</v>
      </c>
      <c r="O21" s="74"/>
      <c r="P21" s="58" t="s">
        <v>127</v>
      </c>
      <c r="Q21" s="73">
        <v>7425</v>
      </c>
      <c r="R21" s="72">
        <v>0.57999999999999996</v>
      </c>
      <c r="S21" s="73">
        <f t="shared" si="1"/>
        <v>4306.5</v>
      </c>
      <c r="T21" s="61">
        <v>0</v>
      </c>
      <c r="U21" s="61">
        <v>0</v>
      </c>
      <c r="V21" s="61">
        <v>1</v>
      </c>
      <c r="W21" s="58">
        <v>0</v>
      </c>
      <c r="X21" s="61">
        <v>0</v>
      </c>
      <c r="Y21" s="61">
        <v>0</v>
      </c>
      <c r="Z21" s="58">
        <f t="shared" si="2"/>
        <v>1</v>
      </c>
      <c r="AA21" s="59" t="s">
        <v>104</v>
      </c>
    </row>
    <row r="22" spans="1:27" ht="15" x14ac:dyDescent="0.25">
      <c r="A22" s="75"/>
      <c r="B22" s="58">
        <v>20</v>
      </c>
      <c r="C22" s="57" t="str">
        <f t="shared" si="0"/>
        <v>Ahli Bank_IB, MB, E-Wallet</v>
      </c>
      <c r="D22" s="59" t="s">
        <v>105</v>
      </c>
      <c r="E22" s="57" t="s">
        <v>92</v>
      </c>
      <c r="F22" s="58" t="s">
        <v>61</v>
      </c>
      <c r="G22" s="58" t="s">
        <v>84</v>
      </c>
      <c r="H22" s="58" t="s">
        <v>21</v>
      </c>
      <c r="I22" s="59" t="s">
        <v>55</v>
      </c>
      <c r="J22" s="59" t="s">
        <v>56</v>
      </c>
      <c r="K22" s="65" t="s">
        <v>64</v>
      </c>
      <c r="L22" s="74">
        <v>43763</v>
      </c>
      <c r="M22" s="61"/>
      <c r="N22" s="62"/>
      <c r="O22" s="74"/>
      <c r="P22" s="58" t="s">
        <v>127</v>
      </c>
      <c r="Q22" s="73">
        <v>75350</v>
      </c>
      <c r="R22" s="72">
        <v>0.53</v>
      </c>
      <c r="S22" s="73">
        <f t="shared" si="1"/>
        <v>39935.5</v>
      </c>
      <c r="T22" s="61">
        <v>0</v>
      </c>
      <c r="U22" s="61">
        <v>1</v>
      </c>
      <c r="V22" s="61">
        <v>3</v>
      </c>
      <c r="W22" s="58">
        <v>0</v>
      </c>
      <c r="X22" s="61">
        <v>0</v>
      </c>
      <c r="Y22" s="61">
        <v>0</v>
      </c>
      <c r="Z22" s="58">
        <f t="shared" si="2"/>
        <v>4</v>
      </c>
      <c r="AA22" s="59"/>
    </row>
    <row r="23" spans="1:27" ht="15" x14ac:dyDescent="0.25">
      <c r="A23" s="75"/>
      <c r="B23" s="58">
        <v>21</v>
      </c>
      <c r="C23" s="57" t="str">
        <f t="shared" si="0"/>
        <v>UAB_Retail Mobile Banking</v>
      </c>
      <c r="D23" s="59" t="s">
        <v>107</v>
      </c>
      <c r="E23" s="57" t="s">
        <v>106</v>
      </c>
      <c r="F23" s="58" t="s">
        <v>53</v>
      </c>
      <c r="G23" s="58" t="s">
        <v>77</v>
      </c>
      <c r="H23" s="58" t="s">
        <v>21</v>
      </c>
      <c r="I23" s="59" t="s">
        <v>55</v>
      </c>
      <c r="J23" s="59" t="s">
        <v>69</v>
      </c>
      <c r="K23" s="69" t="s">
        <v>71</v>
      </c>
      <c r="L23" s="74">
        <v>43768</v>
      </c>
      <c r="M23" s="61"/>
      <c r="N23" s="62"/>
      <c r="O23" s="74"/>
      <c r="P23" s="58" t="s">
        <v>127</v>
      </c>
      <c r="Q23" s="73">
        <v>17700</v>
      </c>
      <c r="R23" s="72">
        <v>0.49</v>
      </c>
      <c r="S23" s="73">
        <f t="shared" si="1"/>
        <v>8673</v>
      </c>
      <c r="T23" s="61">
        <v>0</v>
      </c>
      <c r="U23" s="61">
        <v>1</v>
      </c>
      <c r="V23" s="61">
        <v>2</v>
      </c>
      <c r="W23" s="58">
        <v>0</v>
      </c>
      <c r="X23" s="61">
        <v>0</v>
      </c>
      <c r="Y23" s="61">
        <v>0</v>
      </c>
      <c r="Z23" s="58">
        <f t="shared" si="2"/>
        <v>3</v>
      </c>
      <c r="AA23" s="59"/>
    </row>
    <row r="24" spans="1:27" ht="15" x14ac:dyDescent="0.25">
      <c r="A24" s="75"/>
      <c r="B24" s="58">
        <v>22</v>
      </c>
      <c r="C24" s="57" t="str">
        <f t="shared" si="0"/>
        <v>QIB_Base 24 EPS</v>
      </c>
      <c r="D24" s="59" t="s">
        <v>109</v>
      </c>
      <c r="E24" s="57" t="s">
        <v>108</v>
      </c>
      <c r="F24" s="58" t="s">
        <v>61</v>
      </c>
      <c r="G24" s="58" t="s">
        <v>84</v>
      </c>
      <c r="H24" s="58" t="s">
        <v>21</v>
      </c>
      <c r="I24" s="59" t="s">
        <v>55</v>
      </c>
      <c r="J24" s="59" t="s">
        <v>56</v>
      </c>
      <c r="K24" s="65" t="s">
        <v>64</v>
      </c>
      <c r="L24" s="74">
        <v>43790</v>
      </c>
      <c r="M24" s="61"/>
      <c r="N24" s="62"/>
      <c r="O24" s="74"/>
      <c r="P24" s="58" t="s">
        <v>127</v>
      </c>
      <c r="Q24" s="73">
        <v>26850</v>
      </c>
      <c r="R24" s="72">
        <v>0.57999999999999996</v>
      </c>
      <c r="S24" s="73">
        <f t="shared" si="1"/>
        <v>15572.999999999998</v>
      </c>
      <c r="T24" s="61">
        <v>0</v>
      </c>
      <c r="U24" s="61">
        <v>1</v>
      </c>
      <c r="V24" s="61">
        <v>1</v>
      </c>
      <c r="W24" s="58">
        <v>0</v>
      </c>
      <c r="X24" s="61">
        <v>0</v>
      </c>
      <c r="Y24" s="61">
        <v>0</v>
      </c>
      <c r="Z24" s="58">
        <f t="shared" si="2"/>
        <v>2</v>
      </c>
      <c r="AA24" s="59"/>
    </row>
    <row r="25" spans="1:27" ht="15" x14ac:dyDescent="0.25">
      <c r="A25" s="75"/>
      <c r="B25" s="58">
        <v>23</v>
      </c>
      <c r="C25" s="57" t="str">
        <f t="shared" si="0"/>
        <v>NBF_T24 - Core Banking Upgrade (Baseline &amp; Benchmarking)</v>
      </c>
      <c r="D25" s="59" t="s">
        <v>111</v>
      </c>
      <c r="E25" s="57" t="s">
        <v>110</v>
      </c>
      <c r="F25" s="58" t="s">
        <v>53</v>
      </c>
      <c r="G25" s="58" t="s">
        <v>77</v>
      </c>
      <c r="H25" s="58" t="s">
        <v>34</v>
      </c>
      <c r="I25" s="59" t="s">
        <v>55</v>
      </c>
      <c r="J25" s="59" t="s">
        <v>56</v>
      </c>
      <c r="K25" s="65" t="s">
        <v>64</v>
      </c>
      <c r="L25" s="74">
        <v>43774</v>
      </c>
      <c r="M25" s="61"/>
      <c r="N25" s="62"/>
      <c r="O25" s="74"/>
      <c r="P25" s="58" t="s">
        <v>127</v>
      </c>
      <c r="Q25" s="73">
        <v>64000</v>
      </c>
      <c r="R25" s="72">
        <v>0.5</v>
      </c>
      <c r="S25" s="73">
        <f t="shared" si="1"/>
        <v>32000</v>
      </c>
      <c r="T25" s="61">
        <v>0</v>
      </c>
      <c r="U25" s="61">
        <v>1</v>
      </c>
      <c r="V25" s="61">
        <v>2</v>
      </c>
      <c r="W25" s="58">
        <v>0</v>
      </c>
      <c r="X25" s="61">
        <v>0</v>
      </c>
      <c r="Y25" s="61">
        <v>0</v>
      </c>
      <c r="Z25" s="58">
        <f t="shared" si="2"/>
        <v>3</v>
      </c>
      <c r="AA25" s="59"/>
    </row>
    <row r="26" spans="1:27" ht="15" x14ac:dyDescent="0.25">
      <c r="A26" s="75"/>
      <c r="B26" s="58">
        <v>24</v>
      </c>
      <c r="C26" s="57" t="str">
        <f t="shared" si="0"/>
        <v>BSF_TCSBancs Core Banking</v>
      </c>
      <c r="D26" s="59" t="s">
        <v>164</v>
      </c>
      <c r="E26" s="57" t="s">
        <v>165</v>
      </c>
      <c r="F26" s="58" t="s">
        <v>53</v>
      </c>
      <c r="G26" s="58" t="s">
        <v>87</v>
      </c>
      <c r="H26" s="58" t="s">
        <v>34</v>
      </c>
      <c r="I26" s="59" t="s">
        <v>55</v>
      </c>
      <c r="J26" s="59" t="s">
        <v>56</v>
      </c>
      <c r="K26" s="65" t="s">
        <v>64</v>
      </c>
      <c r="L26" s="74">
        <v>43811</v>
      </c>
      <c r="M26" s="61" t="s">
        <v>133</v>
      </c>
      <c r="N26" s="62">
        <v>175</v>
      </c>
      <c r="O26" s="74">
        <v>43845</v>
      </c>
      <c r="P26" s="58" t="s">
        <v>127</v>
      </c>
      <c r="Q26" s="73">
        <v>196775</v>
      </c>
      <c r="R26" s="72">
        <v>0.58577800000000002</v>
      </c>
      <c r="S26" s="73">
        <f t="shared" si="1"/>
        <v>115266.46595</v>
      </c>
      <c r="T26" s="61">
        <v>0</v>
      </c>
      <c r="U26" s="61">
        <v>1</v>
      </c>
      <c r="V26" s="61">
        <v>1</v>
      </c>
      <c r="W26" s="58">
        <v>1</v>
      </c>
      <c r="X26" s="61">
        <v>0</v>
      </c>
      <c r="Y26" s="61">
        <v>1</v>
      </c>
      <c r="Z26" s="58">
        <f t="shared" si="2"/>
        <v>4</v>
      </c>
      <c r="AA26" s="59" t="s">
        <v>166</v>
      </c>
    </row>
    <row r="27" spans="1:27" ht="15" x14ac:dyDescent="0.25">
      <c r="A27" s="75"/>
      <c r="B27" s="58">
        <v>25</v>
      </c>
      <c r="C27" s="57" t="str">
        <f t="shared" si="0"/>
        <v>Al-Rajhi_T24 Core Banking</v>
      </c>
      <c r="D27" s="59" t="s">
        <v>167</v>
      </c>
      <c r="E27" s="57" t="s">
        <v>168</v>
      </c>
      <c r="F27" s="58" t="s">
        <v>61</v>
      </c>
      <c r="G27" s="58" t="s">
        <v>87</v>
      </c>
      <c r="H27" s="58" t="s">
        <v>34</v>
      </c>
      <c r="I27" s="59" t="s">
        <v>55</v>
      </c>
      <c r="J27" s="59" t="s">
        <v>56</v>
      </c>
      <c r="K27" s="60" t="s">
        <v>58</v>
      </c>
      <c r="L27" s="74">
        <v>43784</v>
      </c>
      <c r="M27" s="61" t="s">
        <v>133</v>
      </c>
      <c r="N27" s="62">
        <v>60</v>
      </c>
      <c r="O27" s="74">
        <v>43817</v>
      </c>
      <c r="P27" s="58" t="s">
        <v>132</v>
      </c>
      <c r="Q27" s="73">
        <v>69750</v>
      </c>
      <c r="R27" s="72">
        <v>0.55000000000000004</v>
      </c>
      <c r="S27" s="73">
        <f t="shared" si="1"/>
        <v>38362.5</v>
      </c>
      <c r="T27" s="61">
        <v>0</v>
      </c>
      <c r="U27" s="61">
        <v>1</v>
      </c>
      <c r="V27" s="61">
        <v>2</v>
      </c>
      <c r="W27" s="58">
        <v>0</v>
      </c>
      <c r="X27" s="61">
        <v>0</v>
      </c>
      <c r="Y27" s="61">
        <v>0</v>
      </c>
      <c r="Z27" s="58">
        <f t="shared" si="2"/>
        <v>3</v>
      </c>
      <c r="AA27" s="59"/>
    </row>
    <row r="28" spans="1:27" ht="15" x14ac:dyDescent="0.25">
      <c r="A28" s="75"/>
      <c r="B28" s="58">
        <v>26</v>
      </c>
      <c r="C28" s="57" t="str">
        <f t="shared" si="0"/>
        <v>Bank Muscat_CLOS - Corporate LOS</v>
      </c>
      <c r="D28" s="59" t="s">
        <v>113</v>
      </c>
      <c r="E28" s="57" t="s">
        <v>112</v>
      </c>
      <c r="F28" s="58" t="s">
        <v>61</v>
      </c>
      <c r="G28" s="58" t="s">
        <v>68</v>
      </c>
      <c r="H28" s="58" t="s">
        <v>21</v>
      </c>
      <c r="I28" s="59" t="s">
        <v>55</v>
      </c>
      <c r="J28" s="59" t="s">
        <v>69</v>
      </c>
      <c r="K28" s="60" t="s">
        <v>58</v>
      </c>
      <c r="L28" s="74">
        <v>43767</v>
      </c>
      <c r="M28" s="61" t="s">
        <v>133</v>
      </c>
      <c r="N28" s="62">
        <v>10</v>
      </c>
      <c r="O28" s="74"/>
      <c r="P28" s="58" t="s">
        <v>127</v>
      </c>
      <c r="Q28" s="73">
        <v>6000</v>
      </c>
      <c r="R28" s="72">
        <v>0.5</v>
      </c>
      <c r="S28" s="73">
        <f t="shared" si="1"/>
        <v>3000</v>
      </c>
      <c r="T28" s="61">
        <v>0</v>
      </c>
      <c r="U28" s="61">
        <v>0</v>
      </c>
      <c r="V28" s="61">
        <v>1</v>
      </c>
      <c r="W28" s="58">
        <v>0</v>
      </c>
      <c r="X28" s="61">
        <v>1</v>
      </c>
      <c r="Y28" s="61">
        <v>0</v>
      </c>
      <c r="Z28" s="58">
        <f t="shared" si="2"/>
        <v>2</v>
      </c>
      <c r="AA28" s="59"/>
    </row>
    <row r="29" spans="1:27" ht="15" x14ac:dyDescent="0.25">
      <c r="A29" s="75"/>
      <c r="B29" s="58">
        <v>27</v>
      </c>
      <c r="C29" s="57" t="str">
        <f t="shared" si="0"/>
        <v>Bank Muscat_Oracle ERP - LMS</v>
      </c>
      <c r="D29" s="59" t="s">
        <v>114</v>
      </c>
      <c r="E29" s="57" t="s">
        <v>112</v>
      </c>
      <c r="F29" s="58" t="s">
        <v>61</v>
      </c>
      <c r="G29" s="58" t="s">
        <v>68</v>
      </c>
      <c r="H29" s="58" t="s">
        <v>21</v>
      </c>
      <c r="I29" s="59" t="s">
        <v>55</v>
      </c>
      <c r="J29" s="59" t="s">
        <v>69</v>
      </c>
      <c r="K29" s="60" t="s">
        <v>58</v>
      </c>
      <c r="L29" s="74">
        <v>43701</v>
      </c>
      <c r="M29" s="61" t="s">
        <v>133</v>
      </c>
      <c r="N29" s="62">
        <v>15</v>
      </c>
      <c r="O29" s="74"/>
      <c r="P29" s="58" t="s">
        <v>127</v>
      </c>
      <c r="Q29" s="73">
        <v>6500</v>
      </c>
      <c r="R29" s="72">
        <v>0.41</v>
      </c>
      <c r="S29" s="73">
        <f t="shared" si="1"/>
        <v>2665</v>
      </c>
      <c r="T29" s="61">
        <v>0</v>
      </c>
      <c r="U29" s="61">
        <v>0</v>
      </c>
      <c r="V29" s="61">
        <v>1</v>
      </c>
      <c r="W29" s="58">
        <v>0</v>
      </c>
      <c r="X29" s="61">
        <v>0</v>
      </c>
      <c r="Y29" s="61">
        <v>0</v>
      </c>
      <c r="Z29" s="58">
        <f t="shared" si="2"/>
        <v>1</v>
      </c>
      <c r="AA29" s="59" t="s">
        <v>115</v>
      </c>
    </row>
    <row r="30" spans="1:27" ht="15" x14ac:dyDescent="0.25">
      <c r="A30" s="75"/>
      <c r="B30" s="58">
        <v>28</v>
      </c>
      <c r="C30" s="57" t="str">
        <f t="shared" si="0"/>
        <v>SIB_Retail_CORP IB &amp; MB_Upgrade</v>
      </c>
      <c r="D30" s="59" t="s">
        <v>200</v>
      </c>
      <c r="E30" s="57" t="s">
        <v>198</v>
      </c>
      <c r="F30" s="58" t="s">
        <v>61</v>
      </c>
      <c r="G30" s="58" t="s">
        <v>201</v>
      </c>
      <c r="H30" s="58" t="s">
        <v>21</v>
      </c>
      <c r="I30" s="59" t="s">
        <v>55</v>
      </c>
      <c r="J30" s="59" t="s">
        <v>56</v>
      </c>
      <c r="K30" s="65" t="s">
        <v>64</v>
      </c>
      <c r="L30" s="74">
        <v>43684</v>
      </c>
      <c r="M30" s="61" t="s">
        <v>133</v>
      </c>
      <c r="N30" s="62">
        <v>45</v>
      </c>
      <c r="O30" s="74"/>
      <c r="P30" s="58" t="s">
        <v>127</v>
      </c>
      <c r="Q30" s="73">
        <v>51400</v>
      </c>
      <c r="R30" s="72">
        <v>0.48</v>
      </c>
      <c r="S30" s="73">
        <f t="shared" si="1"/>
        <v>24672</v>
      </c>
      <c r="T30" s="61">
        <v>0</v>
      </c>
      <c r="U30" s="61">
        <v>1</v>
      </c>
      <c r="V30" s="61">
        <v>1</v>
      </c>
      <c r="W30" s="58">
        <v>0</v>
      </c>
      <c r="X30" s="61">
        <v>0</v>
      </c>
      <c r="Y30" s="61">
        <v>1</v>
      </c>
      <c r="Z30" s="58">
        <f t="shared" si="2"/>
        <v>3</v>
      </c>
      <c r="AA30" s="59" t="s">
        <v>199</v>
      </c>
    </row>
    <row r="31" spans="1:27" ht="15" x14ac:dyDescent="0.25">
      <c r="A31" s="75"/>
      <c r="B31" s="58">
        <v>29</v>
      </c>
      <c r="C31" s="57" t="str">
        <f t="shared" si="0"/>
        <v>GPC_Gulf Payments_Performance</v>
      </c>
      <c r="D31" s="59" t="s">
        <v>202</v>
      </c>
      <c r="E31" s="57" t="s">
        <v>203</v>
      </c>
      <c r="F31" s="58" t="s">
        <v>53</v>
      </c>
      <c r="G31" s="58" t="s">
        <v>87</v>
      </c>
      <c r="H31" s="58" t="s">
        <v>186</v>
      </c>
      <c r="I31" s="59" t="s">
        <v>55</v>
      </c>
      <c r="J31" s="59" t="s">
        <v>56</v>
      </c>
      <c r="K31" s="60" t="s">
        <v>58</v>
      </c>
      <c r="L31" s="74">
        <v>43753</v>
      </c>
      <c r="M31" s="61" t="s">
        <v>133</v>
      </c>
      <c r="N31" s="62">
        <v>60</v>
      </c>
      <c r="O31" s="74"/>
      <c r="P31" s="58" t="s">
        <v>127</v>
      </c>
      <c r="Q31" s="73">
        <v>26250</v>
      </c>
      <c r="R31" s="72">
        <v>0.56999999999999995</v>
      </c>
      <c r="S31" s="73">
        <f t="shared" si="1"/>
        <v>14962.499999999998</v>
      </c>
      <c r="T31" s="61">
        <v>0</v>
      </c>
      <c r="U31" s="61">
        <v>1</v>
      </c>
      <c r="V31" s="61">
        <v>1</v>
      </c>
      <c r="W31" s="58">
        <v>0</v>
      </c>
      <c r="X31" s="61">
        <v>0</v>
      </c>
      <c r="Y31" s="61">
        <v>0</v>
      </c>
      <c r="Z31" s="58">
        <f t="shared" si="2"/>
        <v>2</v>
      </c>
      <c r="AA31" s="59" t="s">
        <v>209</v>
      </c>
    </row>
    <row r="32" spans="1:27" ht="15" x14ac:dyDescent="0.25">
      <c r="A32" s="75"/>
      <c r="B32" s="58">
        <v>30</v>
      </c>
      <c r="C32" s="57" t="str">
        <f t="shared" si="0"/>
        <v>Bank Muscat_Staffing_STE</v>
      </c>
      <c r="D32" s="59" t="s">
        <v>207</v>
      </c>
      <c r="E32" s="57" t="s">
        <v>112</v>
      </c>
      <c r="F32" s="58" t="s">
        <v>61</v>
      </c>
      <c r="G32" s="58" t="s">
        <v>68</v>
      </c>
      <c r="H32" s="58" t="s">
        <v>21</v>
      </c>
      <c r="I32" s="59" t="s">
        <v>55</v>
      </c>
      <c r="J32" s="59" t="s">
        <v>69</v>
      </c>
      <c r="K32" s="65" t="s">
        <v>64</v>
      </c>
      <c r="L32" s="74">
        <v>43825</v>
      </c>
      <c r="M32" s="61" t="s">
        <v>187</v>
      </c>
      <c r="N32" s="62">
        <v>180</v>
      </c>
      <c r="O32" s="74">
        <v>43497</v>
      </c>
      <c r="P32" s="58" t="s">
        <v>127</v>
      </c>
      <c r="Q32" s="73">
        <v>42000</v>
      </c>
      <c r="R32" s="72">
        <v>0.49</v>
      </c>
      <c r="S32" s="73">
        <f t="shared" si="1"/>
        <v>20580</v>
      </c>
      <c r="T32" s="61">
        <v>0</v>
      </c>
      <c r="U32" s="61">
        <v>0</v>
      </c>
      <c r="V32" s="61">
        <v>1</v>
      </c>
      <c r="W32" s="58">
        <v>0</v>
      </c>
      <c r="X32" s="61">
        <v>0</v>
      </c>
      <c r="Y32" s="61">
        <v>0</v>
      </c>
      <c r="Z32" s="58">
        <f t="shared" si="2"/>
        <v>1</v>
      </c>
      <c r="AA32" s="59" t="s">
        <v>205</v>
      </c>
    </row>
    <row r="33" spans="1:27" ht="15" x14ac:dyDescent="0.25">
      <c r="A33" s="75"/>
      <c r="B33" s="58">
        <v>31</v>
      </c>
      <c r="C33" s="57" t="str">
        <f t="shared" si="0"/>
        <v>Bank Muscat_Staffing_TL</v>
      </c>
      <c r="D33" s="59" t="s">
        <v>208</v>
      </c>
      <c r="E33" s="57" t="s">
        <v>112</v>
      </c>
      <c r="F33" s="58" t="s">
        <v>61</v>
      </c>
      <c r="G33" s="58" t="s">
        <v>68</v>
      </c>
      <c r="H33" s="58" t="s">
        <v>21</v>
      </c>
      <c r="I33" s="59" t="s">
        <v>55</v>
      </c>
      <c r="J33" s="59" t="s">
        <v>69</v>
      </c>
      <c r="K33" s="65" t="s">
        <v>64</v>
      </c>
      <c r="L33" s="74">
        <v>43825</v>
      </c>
      <c r="M33" s="61" t="s">
        <v>187</v>
      </c>
      <c r="N33" s="62">
        <v>180</v>
      </c>
      <c r="O33" s="74">
        <v>43497</v>
      </c>
      <c r="P33" s="58" t="s">
        <v>127</v>
      </c>
      <c r="Q33" s="73">
        <v>54000</v>
      </c>
      <c r="R33" s="72">
        <v>0.47</v>
      </c>
      <c r="S33" s="73">
        <f t="shared" si="1"/>
        <v>25380</v>
      </c>
      <c r="T33" s="61">
        <v>0</v>
      </c>
      <c r="U33" s="61">
        <v>1</v>
      </c>
      <c r="V33" s="61">
        <v>0</v>
      </c>
      <c r="W33" s="58">
        <v>0</v>
      </c>
      <c r="X33" s="61">
        <v>0</v>
      </c>
      <c r="Y33" s="61">
        <v>0</v>
      </c>
      <c r="Z33" s="58">
        <v>0</v>
      </c>
      <c r="AA33" s="59" t="s">
        <v>206</v>
      </c>
    </row>
    <row r="34" spans="1:27" ht="15" x14ac:dyDescent="0.25">
      <c r="A34" s="75"/>
      <c r="B34" s="58">
        <v>32</v>
      </c>
      <c r="C34" s="57" t="str">
        <f t="shared" si="0"/>
        <v>QIB_Prime 4 Upgrade</v>
      </c>
      <c r="D34" s="59" t="s">
        <v>194</v>
      </c>
      <c r="E34" s="57" t="s">
        <v>108</v>
      </c>
      <c r="F34" s="58" t="s">
        <v>61</v>
      </c>
      <c r="G34" s="58" t="s">
        <v>84</v>
      </c>
      <c r="H34" s="58" t="s">
        <v>21</v>
      </c>
      <c r="I34" s="59" t="s">
        <v>55</v>
      </c>
      <c r="J34" s="59" t="s">
        <v>69</v>
      </c>
      <c r="K34" s="65" t="s">
        <v>64</v>
      </c>
      <c r="L34" s="74">
        <v>43701</v>
      </c>
      <c r="M34" s="61" t="s">
        <v>133</v>
      </c>
      <c r="N34" s="62">
        <v>35</v>
      </c>
      <c r="O34" s="74"/>
      <c r="P34" s="58" t="s">
        <v>127</v>
      </c>
      <c r="Q34" s="73">
        <v>32900</v>
      </c>
      <c r="R34" s="72">
        <v>0.56000000000000005</v>
      </c>
      <c r="S34" s="73">
        <f t="shared" si="1"/>
        <v>18424</v>
      </c>
      <c r="T34" s="61">
        <v>0</v>
      </c>
      <c r="U34" s="61">
        <v>1</v>
      </c>
      <c r="V34" s="61">
        <v>1</v>
      </c>
      <c r="W34" s="58">
        <v>0</v>
      </c>
      <c r="X34" s="61">
        <v>0</v>
      </c>
      <c r="Y34" s="61">
        <v>0</v>
      </c>
      <c r="Z34" s="58">
        <f t="shared" si="2"/>
        <v>2</v>
      </c>
      <c r="AA34" s="59" t="s">
        <v>115</v>
      </c>
    </row>
  </sheetData>
  <dataValidations count="5">
    <dataValidation type="list" allowBlank="1" showInputMessage="1" showErrorMessage="1" sqref="F3:F34">
      <formula1>"NN, EN"</formula1>
    </dataValidation>
    <dataValidation type="list" allowBlank="1" showInputMessage="1" showErrorMessage="1" sqref="P3:P34">
      <formula1>"RPT, LR, Silk Performer, Jmeter"</formula1>
    </dataValidation>
    <dataValidation type="list" allowBlank="1" showInputMessage="1" showErrorMessage="1" sqref="M3:M34">
      <formula1>"BAU, T&amp;M, Fixed Bid"</formula1>
    </dataValidation>
    <dataValidation type="list" allowBlank="1" showInputMessage="1" showErrorMessage="1" sqref="I3:I34">
      <formula1>"Performance Testing, API Testing"</formula1>
    </dataValidation>
    <dataValidation type="list" allowBlank="1" showInputMessage="1" showErrorMessage="1" sqref="J3:J34">
      <formula1>"Integrated RFP, Performance RFP"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8"/>
  <sheetViews>
    <sheetView workbookViewId="0">
      <selection activeCell="C9" sqref="C9:D9"/>
    </sheetView>
  </sheetViews>
  <sheetFormatPr defaultRowHeight="15" x14ac:dyDescent="0.25"/>
  <cols>
    <col min="1" max="1" width="32.28515625" bestFit="1" customWidth="1"/>
  </cols>
  <sheetData>
    <row r="1" spans="1:1" x14ac:dyDescent="0.25">
      <c r="A1" t="str">
        <f>IF('Proposal (2)'!K3="Won",'Proposal (2)'!C3)</f>
        <v>ABC_Mobile Banking</v>
      </c>
    </row>
    <row r="5" spans="1:1" x14ac:dyDescent="0.25">
      <c r="A5" t="str">
        <f>IF('Proposal (2)'!K7="Won",'Proposal (2)'!C7)</f>
        <v>BBK_Cash Management Solutions</v>
      </c>
    </row>
    <row r="14" spans="1:1" x14ac:dyDescent="0.25">
      <c r="A14" t="str">
        <f>IF('Proposal (2)'!K16="Won",'Proposal (2)'!C16)</f>
        <v>ANB_Mubasher Trade application</v>
      </c>
    </row>
    <row r="15" spans="1:1" x14ac:dyDescent="0.25">
      <c r="A15" t="str">
        <f>IF('Proposal (2)'!K17="Won",'Proposal (2)'!C17)</f>
        <v>ANB_Sahem IPO</v>
      </c>
    </row>
    <row r="16" spans="1:1" x14ac:dyDescent="0.25">
      <c r="A16" t="b">
        <f>IF('Proposal (2)'!K18="Won",'Proposal (2)'!C18)</f>
        <v>0</v>
      </c>
    </row>
    <row r="17" spans="1:1" x14ac:dyDescent="0.25">
      <c r="A17" t="b">
        <f>IF('Proposal (2)'!K19="Won",'Proposal (2)'!C19)</f>
        <v>0</v>
      </c>
    </row>
    <row r="18" spans="1:1" x14ac:dyDescent="0.25">
      <c r="A18" t="str">
        <f>IF('Proposal (2)'!K20="Won",'Proposal (2)'!C20)</f>
        <v>BAB_EIPO Portal</v>
      </c>
    </row>
    <row r="19" spans="1:1" x14ac:dyDescent="0.25">
      <c r="A19" t="str">
        <f>IF('Proposal (2)'!K21="Won",'Proposal (2)'!C21)</f>
        <v>Alawwal_IPO Module (IB, MB, T24)</v>
      </c>
    </row>
    <row r="20" spans="1:1" x14ac:dyDescent="0.25">
      <c r="A20" t="b">
        <f>IF('Proposal (2)'!K22="Won",'Proposal (2)'!C22)</f>
        <v>0</v>
      </c>
    </row>
    <row r="21" spans="1:1" x14ac:dyDescent="0.25">
      <c r="A21" t="b">
        <f>IF('Proposal (2)'!K23="Won",'Proposal (2)'!C23)</f>
        <v>0</v>
      </c>
    </row>
    <row r="22" spans="1:1" x14ac:dyDescent="0.25">
      <c r="A22" t="b">
        <f>IF('Proposal (2)'!K24="Won",'Proposal (2)'!C24)</f>
        <v>0</v>
      </c>
    </row>
    <row r="23" spans="1:1" x14ac:dyDescent="0.25">
      <c r="A23" t="b">
        <f>IF('Proposal (2)'!K25="Won",'Proposal (2)'!C25)</f>
        <v>0</v>
      </c>
    </row>
    <row r="24" spans="1:1" x14ac:dyDescent="0.25">
      <c r="A24" t="b">
        <f>IF('Proposal (2)'!K26="Won",'Proposal (2)'!C26)</f>
        <v>0</v>
      </c>
    </row>
    <row r="25" spans="1:1" x14ac:dyDescent="0.25">
      <c r="A25" t="str">
        <f>IF('Proposal (2)'!K27="Won",'Proposal (2)'!C27)</f>
        <v>Al-Rajhi_T24 Core Banking</v>
      </c>
    </row>
    <row r="26" spans="1:1" x14ac:dyDescent="0.25">
      <c r="A26" t="str">
        <f>IF('Proposal (2)'!K28="Won",'Proposal (2)'!C28)</f>
        <v>Bank Muscat_CLOS - Corporate LOS</v>
      </c>
    </row>
    <row r="27" spans="1:1" x14ac:dyDescent="0.25">
      <c r="A27" t="str">
        <f>IF('Proposal (2)'!K29="Won",'Proposal (2)'!C29)</f>
        <v>Bank Muscat_Oracle ERP - LMS</v>
      </c>
    </row>
    <row r="28" spans="1:1" x14ac:dyDescent="0.25">
      <c r="A28" t="b">
        <f>IF('Proposal (2)'!K30="Won",'Proposal (2)'!C30)</f>
        <v>0</v>
      </c>
    </row>
    <row r="29" spans="1:1" x14ac:dyDescent="0.25">
      <c r="A29" t="str">
        <f>IF('Proposal (2)'!K31="Won",'Proposal (2)'!C31)</f>
        <v>GPC_Gulf Payments_Performance</v>
      </c>
    </row>
    <row r="30" spans="1:1" x14ac:dyDescent="0.25">
      <c r="A30" t="b">
        <f>IF('Proposal (2)'!K32="Won",'Proposal (2)'!C32)</f>
        <v>0</v>
      </c>
    </row>
    <row r="31" spans="1:1" x14ac:dyDescent="0.25">
      <c r="A31" t="b">
        <f>IF('Proposal (2)'!K33="Won",'Proposal (2)'!C33)</f>
        <v>0</v>
      </c>
    </row>
    <row r="32" spans="1:1" x14ac:dyDescent="0.25">
      <c r="A32" t="b">
        <f>IF('Proposal (2)'!K34="Won",'Proposal (2)'!C34)</f>
        <v>0</v>
      </c>
    </row>
    <row r="33" spans="1:1" x14ac:dyDescent="0.25">
      <c r="A33" t="b">
        <f>IF('Proposal (2)'!K35="Won",'Proposal (2)'!C35)</f>
        <v>0</v>
      </c>
    </row>
    <row r="34" spans="1:1" x14ac:dyDescent="0.25">
      <c r="A34" t="b">
        <f>IF('Proposal (2)'!K36="Won",'Proposal (2)'!C36)</f>
        <v>0</v>
      </c>
    </row>
    <row r="35" spans="1:1" x14ac:dyDescent="0.25">
      <c r="A35" t="b">
        <f>IF('Proposal (2)'!K37="Won",'Proposal (2)'!C37)</f>
        <v>0</v>
      </c>
    </row>
    <row r="36" spans="1:1" x14ac:dyDescent="0.25">
      <c r="A36" t="b">
        <f>IF('Proposal (2)'!K38="Won",'Proposal (2)'!C38)</f>
        <v>0</v>
      </c>
    </row>
    <row r="37" spans="1:1" x14ac:dyDescent="0.25">
      <c r="A37" t="b">
        <f>IF('Proposal (2)'!K39="Won",'Proposal (2)'!C39)</f>
        <v>0</v>
      </c>
    </row>
    <row r="38" spans="1:1" x14ac:dyDescent="0.25">
      <c r="A38" t="b">
        <f>IF('Proposal (2)'!K40="Won",'Proposal (2)'!C40)</f>
        <v>0</v>
      </c>
    </row>
    <row r="39" spans="1:1" x14ac:dyDescent="0.25">
      <c r="A39" t="b">
        <f>IF('Proposal (2)'!K41="Won",'Proposal (2)'!C41)</f>
        <v>0</v>
      </c>
    </row>
    <row r="40" spans="1:1" x14ac:dyDescent="0.25">
      <c r="A40" t="b">
        <f>IF('Proposal (2)'!K42="Won",'Proposal (2)'!C42)</f>
        <v>0</v>
      </c>
    </row>
    <row r="41" spans="1:1" x14ac:dyDescent="0.25">
      <c r="A41" t="b">
        <f>IF('Proposal (2)'!K43="Won",'Proposal (2)'!C43)</f>
        <v>0</v>
      </c>
    </row>
    <row r="42" spans="1:1" x14ac:dyDescent="0.25">
      <c r="A42" t="b">
        <f>IF('Proposal (2)'!K44="Won",'Proposal (2)'!C44)</f>
        <v>0</v>
      </c>
    </row>
    <row r="43" spans="1:1" x14ac:dyDescent="0.25">
      <c r="A43" t="b">
        <f>IF('Proposal (2)'!K45="Won",'Proposal (2)'!C45)</f>
        <v>0</v>
      </c>
    </row>
    <row r="44" spans="1:1" x14ac:dyDescent="0.25">
      <c r="A44" t="b">
        <f>IF('Proposal (2)'!K46="Won",'Proposal (2)'!C46)</f>
        <v>0</v>
      </c>
    </row>
    <row r="45" spans="1:1" x14ac:dyDescent="0.25">
      <c r="A45" t="b">
        <f>IF('Proposal (2)'!K47="Won",'Proposal (2)'!C47)</f>
        <v>0</v>
      </c>
    </row>
    <row r="46" spans="1:1" x14ac:dyDescent="0.25">
      <c r="A46" t="b">
        <f>IF('Proposal (2)'!K48="Won",'Proposal (2)'!C48)</f>
        <v>0</v>
      </c>
    </row>
    <row r="47" spans="1:1" x14ac:dyDescent="0.25">
      <c r="A47" t="b">
        <f>IF('Proposal (2)'!K49="Won",'Proposal (2)'!C49)</f>
        <v>0</v>
      </c>
    </row>
    <row r="48" spans="1:1" x14ac:dyDescent="0.25">
      <c r="A48" t="b">
        <f>IF('Proposal (2)'!K50="Won",'Proposal (2)'!C50)</f>
        <v>0</v>
      </c>
    </row>
    <row r="49" spans="1:1" x14ac:dyDescent="0.25">
      <c r="A49" t="b">
        <f>IF('Proposal (2)'!K51="Won",'Proposal (2)'!C51)</f>
        <v>0</v>
      </c>
    </row>
    <row r="50" spans="1:1" x14ac:dyDescent="0.25">
      <c r="A50" t="b">
        <f>IF('Proposal (2)'!K52="Won",'Proposal (2)'!C52)</f>
        <v>0</v>
      </c>
    </row>
    <row r="51" spans="1:1" x14ac:dyDescent="0.25">
      <c r="A51" t="b">
        <f>IF('Proposal (2)'!K53="Won",'Proposal (2)'!C53)</f>
        <v>0</v>
      </c>
    </row>
    <row r="52" spans="1:1" x14ac:dyDescent="0.25">
      <c r="A52" t="b">
        <f>IF('Proposal (2)'!K54="Won",'Proposal (2)'!C54)</f>
        <v>0</v>
      </c>
    </row>
    <row r="53" spans="1:1" x14ac:dyDescent="0.25">
      <c r="A53" t="b">
        <f>IF('Proposal (2)'!K55="Won",'Proposal (2)'!C55)</f>
        <v>0</v>
      </c>
    </row>
    <row r="54" spans="1:1" x14ac:dyDescent="0.25">
      <c r="A54" t="b">
        <f>IF('Proposal (2)'!K56="Won",'Proposal (2)'!C56)</f>
        <v>0</v>
      </c>
    </row>
    <row r="55" spans="1:1" x14ac:dyDescent="0.25">
      <c r="A55" t="b">
        <f>IF('Proposal (2)'!K57="Won",'Proposal (2)'!C57)</f>
        <v>0</v>
      </c>
    </row>
    <row r="56" spans="1:1" x14ac:dyDescent="0.25">
      <c r="A56" t="b">
        <f>IF('Proposal (2)'!K58="Won",'Proposal (2)'!C58)</f>
        <v>0</v>
      </c>
    </row>
    <row r="57" spans="1:1" x14ac:dyDescent="0.25">
      <c r="A57" t="b">
        <f>IF('Proposal (2)'!K59="Won",'Proposal (2)'!C59)</f>
        <v>0</v>
      </c>
    </row>
    <row r="58" spans="1:1" x14ac:dyDescent="0.25">
      <c r="A58" t="b">
        <f>IF('Proposal (2)'!K60="Won",'Proposal (2)'!C60)</f>
        <v>0</v>
      </c>
    </row>
    <row r="59" spans="1:1" x14ac:dyDescent="0.25">
      <c r="A59" t="b">
        <f>IF('Proposal (2)'!K61="Won",'Proposal (2)'!C61)</f>
        <v>0</v>
      </c>
    </row>
    <row r="60" spans="1:1" x14ac:dyDescent="0.25">
      <c r="A60" t="b">
        <f>IF('Proposal (2)'!K62="Won",'Proposal (2)'!C62)</f>
        <v>0</v>
      </c>
    </row>
    <row r="61" spans="1:1" x14ac:dyDescent="0.25">
      <c r="A61" t="b">
        <f>IF('Proposal (2)'!K63="Won",'Proposal (2)'!C63)</f>
        <v>0</v>
      </c>
    </row>
    <row r="62" spans="1:1" x14ac:dyDescent="0.25">
      <c r="A62" t="b">
        <f>IF('Proposal (2)'!K64="Won",'Proposal (2)'!C64)</f>
        <v>0</v>
      </c>
    </row>
    <row r="63" spans="1:1" x14ac:dyDescent="0.25">
      <c r="A63" t="b">
        <f>IF('Proposal (2)'!K65="Won",'Proposal (2)'!C65)</f>
        <v>0</v>
      </c>
    </row>
    <row r="64" spans="1:1" x14ac:dyDescent="0.25">
      <c r="A64" t="b">
        <f>IF('Proposal (2)'!K66="Won",'Proposal (2)'!C66)</f>
        <v>0</v>
      </c>
    </row>
    <row r="65" spans="1:1" x14ac:dyDescent="0.25">
      <c r="A65" t="b">
        <f>IF('Proposal (2)'!K67="Won",'Proposal (2)'!C67)</f>
        <v>0</v>
      </c>
    </row>
    <row r="66" spans="1:1" x14ac:dyDescent="0.25">
      <c r="A66" t="b">
        <f>IF('Proposal (2)'!K68="Won",'Proposal (2)'!C68)</f>
        <v>0</v>
      </c>
    </row>
    <row r="67" spans="1:1" x14ac:dyDescent="0.25">
      <c r="A67" t="b">
        <f>IF('Proposal (2)'!K69="Won",'Proposal (2)'!C69)</f>
        <v>0</v>
      </c>
    </row>
    <row r="68" spans="1:1" x14ac:dyDescent="0.25">
      <c r="A68" t="b">
        <f>IF('Proposal (2)'!K70="Won",'Proposal (2)'!C70)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C30"/>
  <sheetViews>
    <sheetView showGridLines="0" zoomScale="90" zoomScaleNormal="90" workbookViewId="0">
      <pane ySplit="3" topLeftCell="A4" activePane="bottomLeft" state="frozen"/>
      <selection pane="bottomLeft"/>
    </sheetView>
  </sheetViews>
  <sheetFormatPr defaultRowHeight="15" customHeight="1" x14ac:dyDescent="0.2"/>
  <cols>
    <col min="1" max="1" width="5" style="1" customWidth="1"/>
    <col min="2" max="2" width="9.140625" style="1" customWidth="1"/>
    <col min="3" max="3" width="13.140625" style="1" bestFit="1" customWidth="1"/>
    <col min="4" max="4" width="42.140625" style="1" customWidth="1"/>
    <col min="5" max="5" width="17.7109375" style="1" customWidth="1"/>
    <col min="6" max="8" width="10.42578125" style="1" customWidth="1"/>
    <col min="9" max="9" width="21.28515625" style="1" customWidth="1"/>
    <col min="10" max="10" width="16.28515625" style="1" customWidth="1"/>
    <col min="11" max="11" width="16.140625" style="1" customWidth="1"/>
    <col min="12" max="12" width="15.140625" style="1" customWidth="1"/>
    <col min="13" max="13" width="14.5703125" style="1" customWidth="1"/>
    <col min="14" max="14" width="14.28515625" style="1" customWidth="1"/>
    <col min="15" max="15" width="13.85546875" style="1" customWidth="1"/>
    <col min="16" max="16" width="19.28515625" style="1" customWidth="1"/>
    <col min="17" max="18" width="19.28515625" style="20" customWidth="1"/>
    <col min="19" max="19" width="19.7109375" style="1" bestFit="1" customWidth="1"/>
    <col min="20" max="20" width="15.42578125" style="1" bestFit="1" customWidth="1"/>
    <col min="21" max="21" width="15.42578125" style="1" customWidth="1"/>
    <col min="22" max="22" width="7.85546875" style="1" customWidth="1"/>
    <col min="23" max="23" width="6.140625" style="1" customWidth="1"/>
    <col min="24" max="24" width="6.28515625" style="1" customWidth="1"/>
    <col min="25" max="25" width="7.28515625" style="1" customWidth="1"/>
    <col min="26" max="26" width="6.7109375" style="1" customWidth="1"/>
    <col min="27" max="27" width="6.85546875" style="1" customWidth="1"/>
    <col min="28" max="28" width="8.28515625" style="1" customWidth="1"/>
    <col min="29" max="29" width="38.7109375" style="1" bestFit="1" customWidth="1"/>
    <col min="30" max="16384" width="9.140625" style="1"/>
  </cols>
  <sheetData>
    <row r="1" spans="2:29" ht="15" customHeight="1" x14ac:dyDescent="0.2">
      <c r="Q1" s="1"/>
      <c r="R1" s="1"/>
    </row>
    <row r="2" spans="2:29" ht="20.25" customHeight="1" x14ac:dyDescent="0.2">
      <c r="B2" s="242" t="s">
        <v>0</v>
      </c>
      <c r="C2" s="242" t="s">
        <v>136</v>
      </c>
      <c r="D2" s="242" t="s">
        <v>48</v>
      </c>
      <c r="E2" s="242" t="s">
        <v>44</v>
      </c>
      <c r="F2" s="242" t="s">
        <v>45</v>
      </c>
      <c r="G2" s="242" t="s">
        <v>46</v>
      </c>
      <c r="H2" s="242" t="s">
        <v>18</v>
      </c>
      <c r="I2" s="242" t="s">
        <v>162</v>
      </c>
      <c r="J2" s="242" t="s">
        <v>47</v>
      </c>
      <c r="K2" s="242" t="s">
        <v>1</v>
      </c>
      <c r="L2" s="241" t="s">
        <v>116</v>
      </c>
      <c r="M2" s="241" t="s">
        <v>121</v>
      </c>
      <c r="N2" s="241" t="s">
        <v>135</v>
      </c>
      <c r="O2" s="241" t="s">
        <v>117</v>
      </c>
      <c r="P2" s="242" t="s">
        <v>126</v>
      </c>
      <c r="Q2" s="241" t="s">
        <v>139</v>
      </c>
      <c r="R2" s="241" t="s">
        <v>140</v>
      </c>
      <c r="S2" s="241" t="s">
        <v>141</v>
      </c>
      <c r="T2" s="242" t="s">
        <v>42</v>
      </c>
      <c r="U2" s="242" t="s">
        <v>41</v>
      </c>
      <c r="V2" s="243" t="s">
        <v>49</v>
      </c>
      <c r="W2" s="243"/>
      <c r="X2" s="243"/>
      <c r="Y2" s="243"/>
      <c r="Z2" s="243"/>
      <c r="AA2" s="243"/>
      <c r="AB2" s="243"/>
      <c r="AC2" s="242" t="s">
        <v>50</v>
      </c>
    </row>
    <row r="3" spans="2:29" ht="20.25" customHeight="1" x14ac:dyDescent="0.2"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1"/>
      <c r="M3" s="241"/>
      <c r="N3" s="241"/>
      <c r="O3" s="241"/>
      <c r="P3" s="242"/>
      <c r="Q3" s="242"/>
      <c r="R3" s="242"/>
      <c r="S3" s="242"/>
      <c r="T3" s="242"/>
      <c r="U3" s="242"/>
      <c r="V3" s="21" t="s">
        <v>142</v>
      </c>
      <c r="W3" s="18" t="s">
        <v>122</v>
      </c>
      <c r="X3" s="18" t="s">
        <v>124</v>
      </c>
      <c r="Y3" s="18" t="s">
        <v>143</v>
      </c>
      <c r="Z3" s="18" t="s">
        <v>123</v>
      </c>
      <c r="AA3" s="18" t="s">
        <v>125</v>
      </c>
      <c r="AB3" s="19" t="s">
        <v>51</v>
      </c>
      <c r="AC3" s="242"/>
    </row>
    <row r="4" spans="2:29" ht="15" customHeight="1" x14ac:dyDescent="0.2">
      <c r="B4" s="2">
        <v>1</v>
      </c>
      <c r="C4" s="2"/>
      <c r="D4" s="24" t="s">
        <v>57</v>
      </c>
      <c r="E4" s="30" t="s">
        <v>52</v>
      </c>
      <c r="F4" s="31" t="s">
        <v>53</v>
      </c>
      <c r="G4" s="31" t="s">
        <v>54</v>
      </c>
      <c r="H4" s="31" t="s">
        <v>21</v>
      </c>
      <c r="I4" s="32" t="s">
        <v>55</v>
      </c>
      <c r="J4" s="32" t="s">
        <v>56</v>
      </c>
      <c r="K4" s="33" t="s">
        <v>58</v>
      </c>
      <c r="L4" s="34"/>
      <c r="M4" s="34" t="s">
        <v>134</v>
      </c>
      <c r="N4" s="35"/>
      <c r="O4" s="34"/>
      <c r="P4" s="31" t="s">
        <v>163</v>
      </c>
      <c r="Q4" s="36">
        <v>50000</v>
      </c>
      <c r="R4" s="37">
        <v>0</v>
      </c>
      <c r="S4" s="26">
        <f>Q4+R4</f>
        <v>50000</v>
      </c>
      <c r="T4" s="38">
        <v>0.45</v>
      </c>
      <c r="U4" s="27">
        <f t="shared" ref="U4:U30" si="0">S4*T4</f>
        <v>22500</v>
      </c>
      <c r="V4" s="25">
        <v>0</v>
      </c>
      <c r="W4" s="31">
        <v>0</v>
      </c>
      <c r="X4" s="31">
        <v>2</v>
      </c>
      <c r="Y4" s="2">
        <v>0</v>
      </c>
      <c r="Z4" s="31">
        <v>0</v>
      </c>
      <c r="AA4" s="31">
        <v>0</v>
      </c>
      <c r="AB4" s="2">
        <f>SUM(V4:AA4)</f>
        <v>2</v>
      </c>
      <c r="AC4" s="32" t="s">
        <v>59</v>
      </c>
    </row>
    <row r="5" spans="2:29" ht="15" customHeight="1" x14ac:dyDescent="0.2">
      <c r="B5" s="2">
        <v>2</v>
      </c>
      <c r="C5" s="2"/>
      <c r="D5" s="24" t="s">
        <v>63</v>
      </c>
      <c r="E5" s="30" t="s">
        <v>60</v>
      </c>
      <c r="F5" s="31" t="s">
        <v>61</v>
      </c>
      <c r="G5" s="31" t="s">
        <v>62</v>
      </c>
      <c r="H5" s="31" t="s">
        <v>34</v>
      </c>
      <c r="I5" s="32" t="s">
        <v>55</v>
      </c>
      <c r="J5" s="32" t="s">
        <v>56</v>
      </c>
      <c r="K5" s="39" t="s">
        <v>64</v>
      </c>
      <c r="L5" s="34"/>
      <c r="M5" s="34"/>
      <c r="N5" s="35"/>
      <c r="O5" s="34"/>
      <c r="P5" s="31" t="s">
        <v>127</v>
      </c>
      <c r="Q5" s="40">
        <v>0</v>
      </c>
      <c r="R5" s="37"/>
      <c r="S5" s="26">
        <f t="shared" ref="S5:S30" si="1">Q5+R5</f>
        <v>0</v>
      </c>
      <c r="T5" s="41"/>
      <c r="U5" s="29">
        <f t="shared" si="0"/>
        <v>0</v>
      </c>
      <c r="V5" s="28"/>
      <c r="W5" s="39"/>
      <c r="X5" s="39"/>
      <c r="Y5" s="28"/>
      <c r="Z5" s="28"/>
      <c r="AA5" s="28"/>
      <c r="AB5" s="2">
        <f t="shared" ref="AB5:AB30" si="2">SUM(V5:AA5)</f>
        <v>0</v>
      </c>
      <c r="AC5" s="42"/>
    </row>
    <row r="6" spans="2:29" ht="15" customHeight="1" x14ac:dyDescent="0.2">
      <c r="B6" s="2">
        <v>3</v>
      </c>
      <c r="C6" s="2"/>
      <c r="D6" s="24" t="s">
        <v>63</v>
      </c>
      <c r="E6" s="30" t="s">
        <v>65</v>
      </c>
      <c r="F6" s="31" t="s">
        <v>53</v>
      </c>
      <c r="G6" s="31" t="s">
        <v>66</v>
      </c>
      <c r="H6" s="31" t="s">
        <v>34</v>
      </c>
      <c r="I6" s="32" t="s">
        <v>55</v>
      </c>
      <c r="J6" s="32" t="s">
        <v>56</v>
      </c>
      <c r="K6" s="39" t="s">
        <v>64</v>
      </c>
      <c r="L6" s="34"/>
      <c r="M6" s="34"/>
      <c r="N6" s="35"/>
      <c r="O6" s="34"/>
      <c r="P6" s="31" t="s">
        <v>127</v>
      </c>
      <c r="Q6" s="40">
        <v>0</v>
      </c>
      <c r="R6" s="37"/>
      <c r="S6" s="26">
        <f t="shared" si="1"/>
        <v>0</v>
      </c>
      <c r="T6" s="41"/>
      <c r="U6" s="29">
        <f t="shared" si="0"/>
        <v>0</v>
      </c>
      <c r="V6" s="28"/>
      <c r="W6" s="39"/>
      <c r="X6" s="39"/>
      <c r="Y6" s="28"/>
      <c r="Z6" s="28"/>
      <c r="AA6" s="28"/>
      <c r="AB6" s="2">
        <f t="shared" si="2"/>
        <v>0</v>
      </c>
      <c r="AC6" s="42"/>
    </row>
    <row r="7" spans="2:29" ht="15" customHeight="1" x14ac:dyDescent="0.2">
      <c r="B7" s="2">
        <v>4</v>
      </c>
      <c r="C7" s="2"/>
      <c r="D7" s="24" t="s">
        <v>70</v>
      </c>
      <c r="E7" s="30" t="s">
        <v>67</v>
      </c>
      <c r="F7" s="31" t="s">
        <v>61</v>
      </c>
      <c r="G7" s="31" t="s">
        <v>68</v>
      </c>
      <c r="H7" s="31" t="s">
        <v>21</v>
      </c>
      <c r="I7" s="32" t="s">
        <v>55</v>
      </c>
      <c r="J7" s="32" t="s">
        <v>69</v>
      </c>
      <c r="K7" s="43" t="s">
        <v>71</v>
      </c>
      <c r="L7" s="44">
        <v>43632</v>
      </c>
      <c r="M7" s="34"/>
      <c r="N7" s="45"/>
      <c r="O7" s="44"/>
      <c r="P7" s="31" t="s">
        <v>127</v>
      </c>
      <c r="Q7" s="36">
        <v>23502</v>
      </c>
      <c r="R7" s="37"/>
      <c r="S7" s="26">
        <f t="shared" si="1"/>
        <v>23502</v>
      </c>
      <c r="T7" s="46">
        <v>0.46</v>
      </c>
      <c r="U7" s="27">
        <f t="shared" si="0"/>
        <v>10810.92</v>
      </c>
      <c r="V7" s="25">
        <v>0</v>
      </c>
      <c r="W7" s="31">
        <v>1</v>
      </c>
      <c r="X7" s="31">
        <v>2</v>
      </c>
      <c r="Y7" s="2">
        <v>0</v>
      </c>
      <c r="Z7" s="31">
        <v>0</v>
      </c>
      <c r="AA7" s="31">
        <v>0</v>
      </c>
      <c r="AB7" s="2">
        <f t="shared" si="2"/>
        <v>3</v>
      </c>
      <c r="AC7" s="32"/>
    </row>
    <row r="8" spans="2:29" ht="15" customHeight="1" x14ac:dyDescent="0.2">
      <c r="B8" s="2">
        <v>5</v>
      </c>
      <c r="C8" s="2"/>
      <c r="D8" s="24" t="s">
        <v>73</v>
      </c>
      <c r="E8" s="30" t="s">
        <v>72</v>
      </c>
      <c r="F8" s="31" t="s">
        <v>53</v>
      </c>
      <c r="G8" s="31" t="s">
        <v>54</v>
      </c>
      <c r="H8" s="31" t="s">
        <v>21</v>
      </c>
      <c r="I8" s="32" t="s">
        <v>55</v>
      </c>
      <c r="J8" s="32" t="s">
        <v>56</v>
      </c>
      <c r="K8" s="33" t="s">
        <v>58</v>
      </c>
      <c r="L8" s="34"/>
      <c r="M8" s="34" t="s">
        <v>133</v>
      </c>
      <c r="N8" s="35"/>
      <c r="O8" s="34"/>
      <c r="P8" s="31" t="s">
        <v>127</v>
      </c>
      <c r="Q8" s="47">
        <v>41500</v>
      </c>
      <c r="R8" s="37"/>
      <c r="S8" s="26">
        <f t="shared" si="1"/>
        <v>41500</v>
      </c>
      <c r="T8" s="46">
        <v>0.51</v>
      </c>
      <c r="U8" s="27">
        <f t="shared" si="0"/>
        <v>21165</v>
      </c>
      <c r="V8" s="25">
        <v>0</v>
      </c>
      <c r="W8" s="34">
        <v>1</v>
      </c>
      <c r="X8" s="34">
        <v>2</v>
      </c>
      <c r="Y8" s="2">
        <v>0</v>
      </c>
      <c r="Z8" s="31">
        <v>0</v>
      </c>
      <c r="AA8" s="31">
        <v>0</v>
      </c>
      <c r="AB8" s="2">
        <f t="shared" si="2"/>
        <v>3</v>
      </c>
      <c r="AC8" s="32" t="s">
        <v>74</v>
      </c>
    </row>
    <row r="9" spans="2:29" ht="15" customHeight="1" x14ac:dyDescent="0.2">
      <c r="B9" s="2">
        <v>6</v>
      </c>
      <c r="C9" s="2"/>
      <c r="D9" s="24" t="s">
        <v>75</v>
      </c>
      <c r="E9" s="30" t="s">
        <v>72</v>
      </c>
      <c r="F9" s="31" t="s">
        <v>53</v>
      </c>
      <c r="G9" s="31" t="s">
        <v>54</v>
      </c>
      <c r="H9" s="31" t="s">
        <v>21</v>
      </c>
      <c r="I9" s="32" t="s">
        <v>55</v>
      </c>
      <c r="J9" s="32" t="s">
        <v>56</v>
      </c>
      <c r="K9" s="39" t="s">
        <v>64</v>
      </c>
      <c r="L9" s="48">
        <v>43746</v>
      </c>
      <c r="M9" s="34"/>
      <c r="N9" s="35"/>
      <c r="O9" s="48"/>
      <c r="P9" s="31" t="s">
        <v>127</v>
      </c>
      <c r="Q9" s="47">
        <v>31850</v>
      </c>
      <c r="R9" s="37"/>
      <c r="S9" s="26">
        <f t="shared" si="1"/>
        <v>31850</v>
      </c>
      <c r="T9" s="46">
        <v>0.55000000000000004</v>
      </c>
      <c r="U9" s="27">
        <f t="shared" si="0"/>
        <v>17517.5</v>
      </c>
      <c r="V9" s="25">
        <v>0</v>
      </c>
      <c r="W9" s="34">
        <v>1</v>
      </c>
      <c r="X9" s="34">
        <v>2</v>
      </c>
      <c r="Y9" s="2">
        <v>0</v>
      </c>
      <c r="Z9" s="31">
        <v>0</v>
      </c>
      <c r="AA9" s="31">
        <v>0</v>
      </c>
      <c r="AB9" s="2">
        <f t="shared" si="2"/>
        <v>3</v>
      </c>
      <c r="AC9" s="32"/>
    </row>
    <row r="10" spans="2:29" ht="15" customHeight="1" x14ac:dyDescent="0.2">
      <c r="B10" s="2">
        <v>7</v>
      </c>
      <c r="C10" s="2"/>
      <c r="D10" s="24" t="s">
        <v>78</v>
      </c>
      <c r="E10" s="30" t="s">
        <v>76</v>
      </c>
      <c r="F10" s="31" t="s">
        <v>53</v>
      </c>
      <c r="G10" s="31" t="s">
        <v>77</v>
      </c>
      <c r="H10" s="31" t="s">
        <v>21</v>
      </c>
      <c r="I10" s="32" t="s">
        <v>55</v>
      </c>
      <c r="J10" s="32" t="s">
        <v>69</v>
      </c>
      <c r="K10" s="39" t="s">
        <v>64</v>
      </c>
      <c r="L10" s="44">
        <v>43658</v>
      </c>
      <c r="M10" s="34"/>
      <c r="N10" s="45"/>
      <c r="O10" s="44"/>
      <c r="P10" s="31" t="s">
        <v>127</v>
      </c>
      <c r="Q10" s="36">
        <v>90595</v>
      </c>
      <c r="R10" s="37"/>
      <c r="S10" s="26">
        <f t="shared" si="1"/>
        <v>90595</v>
      </c>
      <c r="T10" s="46">
        <v>0.53</v>
      </c>
      <c r="U10" s="27">
        <f t="shared" si="0"/>
        <v>48015.350000000006</v>
      </c>
      <c r="V10" s="25">
        <v>0</v>
      </c>
      <c r="W10" s="31">
        <v>1</v>
      </c>
      <c r="X10" s="31">
        <v>3</v>
      </c>
      <c r="Y10" s="2">
        <v>0</v>
      </c>
      <c r="Z10" s="31">
        <v>0</v>
      </c>
      <c r="AA10" s="31">
        <v>0</v>
      </c>
      <c r="AB10" s="2">
        <f t="shared" si="2"/>
        <v>4</v>
      </c>
      <c r="AC10" s="32"/>
    </row>
    <row r="11" spans="2:29" ht="15" customHeight="1" x14ac:dyDescent="0.2">
      <c r="B11" s="2">
        <v>8</v>
      </c>
      <c r="C11" s="2"/>
      <c r="D11" s="24" t="s">
        <v>80</v>
      </c>
      <c r="E11" s="30" t="s">
        <v>12</v>
      </c>
      <c r="F11" s="31" t="s">
        <v>61</v>
      </c>
      <c r="G11" s="31" t="s">
        <v>79</v>
      </c>
      <c r="H11" s="31" t="s">
        <v>34</v>
      </c>
      <c r="I11" s="32" t="s">
        <v>55</v>
      </c>
      <c r="J11" s="32" t="s">
        <v>56</v>
      </c>
      <c r="K11" s="39" t="s">
        <v>64</v>
      </c>
      <c r="L11" s="44">
        <v>43709</v>
      </c>
      <c r="M11" s="34"/>
      <c r="N11" s="45"/>
      <c r="O11" s="44"/>
      <c r="P11" s="31" t="s">
        <v>132</v>
      </c>
      <c r="Q11" s="36">
        <v>15000</v>
      </c>
      <c r="R11" s="37"/>
      <c r="S11" s="26">
        <f t="shared" si="1"/>
        <v>15000</v>
      </c>
      <c r="T11" s="46">
        <v>0.49</v>
      </c>
      <c r="U11" s="27">
        <f t="shared" si="0"/>
        <v>7350</v>
      </c>
      <c r="V11" s="25">
        <v>0</v>
      </c>
      <c r="W11" s="31">
        <v>1</v>
      </c>
      <c r="X11" s="31">
        <v>1</v>
      </c>
      <c r="Y11" s="2">
        <v>0</v>
      </c>
      <c r="Z11" s="31">
        <v>0</v>
      </c>
      <c r="AA11" s="31">
        <v>0</v>
      </c>
      <c r="AB11" s="2">
        <f t="shared" si="2"/>
        <v>2</v>
      </c>
      <c r="AC11" s="32"/>
    </row>
    <row r="12" spans="2:29" ht="15" customHeight="1" x14ac:dyDescent="0.2">
      <c r="B12" s="2">
        <v>9</v>
      </c>
      <c r="C12" s="2"/>
      <c r="D12" s="24" t="s">
        <v>82</v>
      </c>
      <c r="E12" s="30" t="s">
        <v>81</v>
      </c>
      <c r="F12" s="31" t="s">
        <v>61</v>
      </c>
      <c r="G12" s="31" t="s">
        <v>54</v>
      </c>
      <c r="H12" s="31" t="s">
        <v>21</v>
      </c>
      <c r="I12" s="32" t="s">
        <v>55</v>
      </c>
      <c r="J12" s="32" t="s">
        <v>56</v>
      </c>
      <c r="K12" s="43" t="s">
        <v>71</v>
      </c>
      <c r="L12" s="44">
        <v>43676</v>
      </c>
      <c r="M12" s="34"/>
      <c r="N12" s="45"/>
      <c r="O12" s="44"/>
      <c r="P12" s="31" t="s">
        <v>127</v>
      </c>
      <c r="Q12" s="36">
        <v>44250</v>
      </c>
      <c r="R12" s="37"/>
      <c r="S12" s="26">
        <f t="shared" si="1"/>
        <v>44250</v>
      </c>
      <c r="T12" s="46">
        <v>0.53</v>
      </c>
      <c r="U12" s="27">
        <f t="shared" si="0"/>
        <v>23452.5</v>
      </c>
      <c r="V12" s="25">
        <v>0</v>
      </c>
      <c r="W12" s="31">
        <v>1</v>
      </c>
      <c r="X12" s="31">
        <v>3</v>
      </c>
      <c r="Y12" s="2">
        <v>0</v>
      </c>
      <c r="Z12" s="31">
        <v>0</v>
      </c>
      <c r="AA12" s="31">
        <v>0</v>
      </c>
      <c r="AB12" s="2">
        <f t="shared" si="2"/>
        <v>4</v>
      </c>
      <c r="AC12" s="32"/>
    </row>
    <row r="13" spans="2:29" ht="15" customHeight="1" x14ac:dyDescent="0.2">
      <c r="B13" s="2">
        <v>10</v>
      </c>
      <c r="C13" s="2"/>
      <c r="D13" s="24" t="s">
        <v>85</v>
      </c>
      <c r="E13" s="30" t="s">
        <v>83</v>
      </c>
      <c r="F13" s="31" t="s">
        <v>61</v>
      </c>
      <c r="G13" s="31" t="s">
        <v>84</v>
      </c>
      <c r="H13" s="31" t="s">
        <v>21</v>
      </c>
      <c r="I13" s="32" t="s">
        <v>55</v>
      </c>
      <c r="J13" s="32" t="s">
        <v>69</v>
      </c>
      <c r="K13" s="43" t="s">
        <v>71</v>
      </c>
      <c r="L13" s="44">
        <v>43697</v>
      </c>
      <c r="M13" s="34"/>
      <c r="N13" s="45"/>
      <c r="O13" s="44"/>
      <c r="P13" s="31" t="s">
        <v>127</v>
      </c>
      <c r="Q13" s="36">
        <v>18000</v>
      </c>
      <c r="R13" s="37"/>
      <c r="S13" s="26">
        <f t="shared" si="1"/>
        <v>18000</v>
      </c>
      <c r="T13" s="46">
        <v>0.5</v>
      </c>
      <c r="U13" s="27">
        <f t="shared" si="0"/>
        <v>9000</v>
      </c>
      <c r="V13" s="25">
        <v>0</v>
      </c>
      <c r="W13" s="31">
        <v>1</v>
      </c>
      <c r="X13" s="31">
        <v>2</v>
      </c>
      <c r="Y13" s="2">
        <v>0</v>
      </c>
      <c r="Z13" s="31">
        <v>0</v>
      </c>
      <c r="AA13" s="31">
        <v>0</v>
      </c>
      <c r="AB13" s="2">
        <f t="shared" si="2"/>
        <v>3</v>
      </c>
      <c r="AC13" s="32"/>
    </row>
    <row r="14" spans="2:29" ht="15" customHeight="1" x14ac:dyDescent="0.2">
      <c r="B14" s="2">
        <v>11</v>
      </c>
      <c r="C14" s="2"/>
      <c r="D14" s="24" t="s">
        <v>88</v>
      </c>
      <c r="E14" s="30" t="s">
        <v>86</v>
      </c>
      <c r="F14" s="31" t="s">
        <v>61</v>
      </c>
      <c r="G14" s="31" t="s">
        <v>87</v>
      </c>
      <c r="H14" s="31" t="s">
        <v>34</v>
      </c>
      <c r="I14" s="32" t="s">
        <v>55</v>
      </c>
      <c r="J14" s="32" t="s">
        <v>56</v>
      </c>
      <c r="K14" s="43" t="s">
        <v>71</v>
      </c>
      <c r="L14" s="44">
        <v>43767</v>
      </c>
      <c r="M14" s="34"/>
      <c r="N14" s="45"/>
      <c r="O14" s="44"/>
      <c r="P14" s="31" t="s">
        <v>127</v>
      </c>
      <c r="Q14" s="36">
        <v>140000</v>
      </c>
      <c r="R14" s="37"/>
      <c r="S14" s="26">
        <f t="shared" si="1"/>
        <v>140000</v>
      </c>
      <c r="T14" s="46">
        <v>0.47</v>
      </c>
      <c r="U14" s="27">
        <f t="shared" si="0"/>
        <v>65800</v>
      </c>
      <c r="V14" s="25">
        <v>0</v>
      </c>
      <c r="W14" s="31">
        <v>1</v>
      </c>
      <c r="X14" s="31">
        <v>4</v>
      </c>
      <c r="Y14" s="2">
        <v>0</v>
      </c>
      <c r="Z14" s="31">
        <v>0</v>
      </c>
      <c r="AA14" s="31">
        <v>0</v>
      </c>
      <c r="AB14" s="2">
        <f t="shared" si="2"/>
        <v>5</v>
      </c>
      <c r="AC14" s="32" t="s">
        <v>89</v>
      </c>
    </row>
    <row r="15" spans="2:29" ht="15" customHeight="1" x14ac:dyDescent="0.2">
      <c r="B15" s="2">
        <v>12</v>
      </c>
      <c r="C15" s="2"/>
      <c r="D15" s="24" t="s">
        <v>91</v>
      </c>
      <c r="E15" s="30" t="s">
        <v>90</v>
      </c>
      <c r="F15" s="31" t="s">
        <v>61</v>
      </c>
      <c r="G15" s="31" t="s">
        <v>77</v>
      </c>
      <c r="H15" s="31" t="s">
        <v>21</v>
      </c>
      <c r="I15" s="32" t="s">
        <v>55</v>
      </c>
      <c r="J15" s="32" t="s">
        <v>56</v>
      </c>
      <c r="K15" s="39" t="s">
        <v>64</v>
      </c>
      <c r="L15" s="44">
        <v>43734</v>
      </c>
      <c r="M15" s="34"/>
      <c r="N15" s="45"/>
      <c r="O15" s="44"/>
      <c r="P15" s="31" t="s">
        <v>127</v>
      </c>
      <c r="Q15" s="36">
        <v>14875</v>
      </c>
      <c r="R15" s="37"/>
      <c r="S15" s="26">
        <f t="shared" si="1"/>
        <v>14875</v>
      </c>
      <c r="T15" s="46">
        <v>0.45</v>
      </c>
      <c r="U15" s="27">
        <f t="shared" si="0"/>
        <v>6693.75</v>
      </c>
      <c r="V15" s="25">
        <v>0</v>
      </c>
      <c r="W15" s="31">
        <v>0</v>
      </c>
      <c r="X15" s="31">
        <v>2</v>
      </c>
      <c r="Y15" s="2">
        <v>0</v>
      </c>
      <c r="Z15" s="31">
        <v>0</v>
      </c>
      <c r="AA15" s="31">
        <v>0</v>
      </c>
      <c r="AB15" s="2">
        <f t="shared" si="2"/>
        <v>2</v>
      </c>
      <c r="AC15" s="32"/>
    </row>
    <row r="16" spans="2:29" ht="15" customHeight="1" x14ac:dyDescent="0.2">
      <c r="B16" s="2">
        <v>13</v>
      </c>
      <c r="C16" s="2"/>
      <c r="D16" s="24" t="s">
        <v>57</v>
      </c>
      <c r="E16" s="30" t="s">
        <v>92</v>
      </c>
      <c r="F16" s="31" t="s">
        <v>61</v>
      </c>
      <c r="G16" s="31" t="s">
        <v>84</v>
      </c>
      <c r="H16" s="31" t="s">
        <v>21</v>
      </c>
      <c r="I16" s="32" t="s">
        <v>55</v>
      </c>
      <c r="J16" s="32" t="s">
        <v>56</v>
      </c>
      <c r="K16" s="43" t="s">
        <v>71</v>
      </c>
      <c r="L16" s="34"/>
      <c r="M16" s="34"/>
      <c r="N16" s="35"/>
      <c r="O16" s="34"/>
      <c r="P16" s="31" t="s">
        <v>127</v>
      </c>
      <c r="Q16" s="47">
        <v>8000</v>
      </c>
      <c r="R16" s="37"/>
      <c r="S16" s="26">
        <f t="shared" si="1"/>
        <v>8000</v>
      </c>
      <c r="T16" s="46">
        <v>0.56999999999999995</v>
      </c>
      <c r="U16" s="27">
        <f t="shared" si="0"/>
        <v>4560</v>
      </c>
      <c r="V16" s="25">
        <v>0</v>
      </c>
      <c r="W16" s="34">
        <v>0</v>
      </c>
      <c r="X16" s="34">
        <v>1</v>
      </c>
      <c r="Y16" s="2">
        <v>0</v>
      </c>
      <c r="Z16" s="31">
        <v>0</v>
      </c>
      <c r="AA16" s="31">
        <v>0</v>
      </c>
      <c r="AB16" s="2">
        <f t="shared" si="2"/>
        <v>1</v>
      </c>
      <c r="AC16" s="32"/>
    </row>
    <row r="17" spans="2:29" ht="15" customHeight="1" x14ac:dyDescent="0.2">
      <c r="B17" s="2">
        <v>14</v>
      </c>
      <c r="C17" s="2"/>
      <c r="D17" s="24" t="s">
        <v>94</v>
      </c>
      <c r="E17" s="30" t="s">
        <v>93</v>
      </c>
      <c r="F17" s="31" t="s">
        <v>61</v>
      </c>
      <c r="G17" s="31" t="s">
        <v>87</v>
      </c>
      <c r="H17" s="31" t="s">
        <v>34</v>
      </c>
      <c r="I17" s="32" t="s">
        <v>55</v>
      </c>
      <c r="J17" s="32" t="s">
        <v>69</v>
      </c>
      <c r="K17" s="33" t="s">
        <v>58</v>
      </c>
      <c r="L17" s="48">
        <v>43747</v>
      </c>
      <c r="M17" s="34" t="s">
        <v>133</v>
      </c>
      <c r="N17" s="35"/>
      <c r="O17" s="48"/>
      <c r="P17" s="31" t="s">
        <v>127</v>
      </c>
      <c r="Q17" s="47">
        <v>11850</v>
      </c>
      <c r="R17" s="37"/>
      <c r="S17" s="26">
        <f t="shared" si="1"/>
        <v>11850</v>
      </c>
      <c r="T17" s="46">
        <v>0.6</v>
      </c>
      <c r="U17" s="27">
        <f t="shared" si="0"/>
        <v>7110</v>
      </c>
      <c r="V17" s="25">
        <v>0</v>
      </c>
      <c r="W17" s="34">
        <v>1</v>
      </c>
      <c r="X17" s="34">
        <v>1</v>
      </c>
      <c r="Y17" s="2">
        <v>0</v>
      </c>
      <c r="Z17" s="31">
        <v>0</v>
      </c>
      <c r="AA17" s="31">
        <v>0</v>
      </c>
      <c r="AB17" s="2">
        <f t="shared" si="2"/>
        <v>2</v>
      </c>
      <c r="AC17" s="32" t="s">
        <v>95</v>
      </c>
    </row>
    <row r="18" spans="2:29" ht="15" customHeight="1" x14ac:dyDescent="0.2">
      <c r="B18" s="2">
        <v>15</v>
      </c>
      <c r="C18" s="2"/>
      <c r="D18" s="24" t="s">
        <v>96</v>
      </c>
      <c r="E18" s="30" t="s">
        <v>93</v>
      </c>
      <c r="F18" s="31" t="s">
        <v>61</v>
      </c>
      <c r="G18" s="31" t="s">
        <v>87</v>
      </c>
      <c r="H18" s="31" t="s">
        <v>34</v>
      </c>
      <c r="I18" s="32" t="s">
        <v>55</v>
      </c>
      <c r="J18" s="32" t="s">
        <v>69</v>
      </c>
      <c r="K18" s="33" t="s">
        <v>58</v>
      </c>
      <c r="L18" s="48">
        <v>43755</v>
      </c>
      <c r="M18" s="34" t="s">
        <v>133</v>
      </c>
      <c r="N18" s="35">
        <v>10</v>
      </c>
      <c r="O18" s="48"/>
      <c r="P18" s="31" t="s">
        <v>127</v>
      </c>
      <c r="Q18" s="47">
        <v>2420</v>
      </c>
      <c r="R18" s="37"/>
      <c r="S18" s="26">
        <f t="shared" si="1"/>
        <v>2420</v>
      </c>
      <c r="T18" s="46">
        <v>0.63</v>
      </c>
      <c r="U18" s="27">
        <f t="shared" si="0"/>
        <v>1524.6</v>
      </c>
      <c r="V18" s="25">
        <v>0</v>
      </c>
      <c r="W18" s="34">
        <v>0</v>
      </c>
      <c r="X18" s="34">
        <v>2</v>
      </c>
      <c r="Y18" s="2">
        <v>0</v>
      </c>
      <c r="Z18" s="31">
        <v>0</v>
      </c>
      <c r="AA18" s="31">
        <v>0</v>
      </c>
      <c r="AB18" s="2">
        <f t="shared" si="2"/>
        <v>2</v>
      </c>
      <c r="AC18" s="32" t="s">
        <v>97</v>
      </c>
    </row>
    <row r="19" spans="2:29" ht="15" customHeight="1" x14ac:dyDescent="0.2">
      <c r="B19" s="2">
        <v>16</v>
      </c>
      <c r="C19" s="2"/>
      <c r="D19" s="24" t="s">
        <v>99</v>
      </c>
      <c r="E19" s="30" t="s">
        <v>98</v>
      </c>
      <c r="F19" s="31" t="s">
        <v>61</v>
      </c>
      <c r="G19" s="31" t="s">
        <v>77</v>
      </c>
      <c r="H19" s="31" t="s">
        <v>21</v>
      </c>
      <c r="I19" s="32" t="s">
        <v>55</v>
      </c>
      <c r="J19" s="32" t="s">
        <v>69</v>
      </c>
      <c r="K19" s="43" t="s">
        <v>71</v>
      </c>
      <c r="L19" s="48">
        <v>43752</v>
      </c>
      <c r="M19" s="34"/>
      <c r="N19" s="35"/>
      <c r="O19" s="48"/>
      <c r="P19" s="31" t="s">
        <v>127</v>
      </c>
      <c r="Q19" s="47">
        <v>3000</v>
      </c>
      <c r="R19" s="37"/>
      <c r="S19" s="26">
        <f t="shared" si="1"/>
        <v>3000</v>
      </c>
      <c r="T19" s="46">
        <v>0.41</v>
      </c>
      <c r="U19" s="27">
        <f t="shared" si="0"/>
        <v>1230</v>
      </c>
      <c r="V19" s="25">
        <v>0</v>
      </c>
      <c r="W19" s="34">
        <v>0</v>
      </c>
      <c r="X19" s="34">
        <v>2</v>
      </c>
      <c r="Y19" s="2">
        <v>0</v>
      </c>
      <c r="Z19" s="31">
        <v>0</v>
      </c>
      <c r="AA19" s="31">
        <v>0</v>
      </c>
      <c r="AB19" s="2">
        <f t="shared" si="2"/>
        <v>2</v>
      </c>
      <c r="AC19" s="32"/>
    </row>
    <row r="20" spans="2:29" ht="15" customHeight="1" x14ac:dyDescent="0.2">
      <c r="B20" s="2">
        <v>17</v>
      </c>
      <c r="C20" s="2"/>
      <c r="D20" s="24" t="s">
        <v>100</v>
      </c>
      <c r="E20" s="30" t="s">
        <v>83</v>
      </c>
      <c r="F20" s="31" t="s">
        <v>61</v>
      </c>
      <c r="G20" s="31" t="s">
        <v>84</v>
      </c>
      <c r="H20" s="31" t="s">
        <v>21</v>
      </c>
      <c r="I20" s="32" t="s">
        <v>55</v>
      </c>
      <c r="J20" s="32" t="s">
        <v>56</v>
      </c>
      <c r="K20" s="39" t="s">
        <v>64</v>
      </c>
      <c r="L20" s="48">
        <v>43750</v>
      </c>
      <c r="M20" s="34"/>
      <c r="N20" s="35"/>
      <c r="O20" s="48"/>
      <c r="P20" s="31" t="s">
        <v>127</v>
      </c>
      <c r="Q20" s="47">
        <v>60075</v>
      </c>
      <c r="R20" s="37"/>
      <c r="S20" s="26">
        <f t="shared" si="1"/>
        <v>60075</v>
      </c>
      <c r="T20" s="46">
        <v>0.62</v>
      </c>
      <c r="U20" s="27">
        <f t="shared" si="0"/>
        <v>37246.5</v>
      </c>
      <c r="V20" s="25">
        <v>0</v>
      </c>
      <c r="W20" s="34">
        <v>1</v>
      </c>
      <c r="X20" s="34">
        <v>2</v>
      </c>
      <c r="Y20" s="2">
        <v>0</v>
      </c>
      <c r="Z20" s="31">
        <v>0</v>
      </c>
      <c r="AA20" s="31">
        <v>0</v>
      </c>
      <c r="AB20" s="2">
        <f t="shared" si="2"/>
        <v>3</v>
      </c>
      <c r="AC20" s="32"/>
    </row>
    <row r="21" spans="2:29" ht="15" customHeight="1" x14ac:dyDescent="0.2">
      <c r="B21" s="2">
        <v>18</v>
      </c>
      <c r="C21" s="2"/>
      <c r="D21" s="24" t="s">
        <v>101</v>
      </c>
      <c r="E21" s="30" t="s">
        <v>11</v>
      </c>
      <c r="F21" s="31" t="s">
        <v>61</v>
      </c>
      <c r="G21" s="31" t="s">
        <v>87</v>
      </c>
      <c r="H21" s="31" t="s">
        <v>34</v>
      </c>
      <c r="I21" s="32" t="s">
        <v>55</v>
      </c>
      <c r="J21" s="32" t="s">
        <v>69</v>
      </c>
      <c r="K21" s="33" t="s">
        <v>58</v>
      </c>
      <c r="L21" s="48">
        <v>43758</v>
      </c>
      <c r="M21" s="34" t="s">
        <v>133</v>
      </c>
      <c r="N21" s="35">
        <v>15</v>
      </c>
      <c r="O21" s="48">
        <v>43762</v>
      </c>
      <c r="P21" s="31" t="s">
        <v>127</v>
      </c>
      <c r="Q21" s="47">
        <v>3345</v>
      </c>
      <c r="R21" s="37">
        <v>1080</v>
      </c>
      <c r="S21" s="26">
        <f t="shared" si="1"/>
        <v>4425</v>
      </c>
      <c r="T21" s="46">
        <v>0.71</v>
      </c>
      <c r="U21" s="27">
        <f t="shared" si="0"/>
        <v>3141.75</v>
      </c>
      <c r="V21" s="25">
        <v>0</v>
      </c>
      <c r="W21" s="34">
        <v>0</v>
      </c>
      <c r="X21" s="34">
        <v>1</v>
      </c>
      <c r="Y21" s="2">
        <v>0</v>
      </c>
      <c r="Z21" s="34">
        <v>0</v>
      </c>
      <c r="AA21" s="34">
        <v>0</v>
      </c>
      <c r="AB21" s="2">
        <f t="shared" si="2"/>
        <v>1</v>
      </c>
      <c r="AC21" s="32"/>
    </row>
    <row r="22" spans="2:29" ht="15" customHeight="1" x14ac:dyDescent="0.2">
      <c r="B22" s="2">
        <v>19</v>
      </c>
      <c r="C22" s="2"/>
      <c r="D22" s="24" t="s">
        <v>103</v>
      </c>
      <c r="E22" s="30" t="s">
        <v>102</v>
      </c>
      <c r="F22" s="31" t="s">
        <v>61</v>
      </c>
      <c r="G22" s="31" t="s">
        <v>87</v>
      </c>
      <c r="H22" s="31" t="s">
        <v>34</v>
      </c>
      <c r="I22" s="32" t="s">
        <v>55</v>
      </c>
      <c r="J22" s="32" t="s">
        <v>69</v>
      </c>
      <c r="K22" s="33" t="s">
        <v>58</v>
      </c>
      <c r="L22" s="48">
        <v>43766</v>
      </c>
      <c r="M22" s="34" t="s">
        <v>134</v>
      </c>
      <c r="N22" s="35">
        <v>15</v>
      </c>
      <c r="O22" s="48"/>
      <c r="P22" s="31" t="s">
        <v>127</v>
      </c>
      <c r="Q22" s="47">
        <v>6525</v>
      </c>
      <c r="R22" s="37">
        <v>900</v>
      </c>
      <c r="S22" s="26">
        <f t="shared" si="1"/>
        <v>7425</v>
      </c>
      <c r="T22" s="46">
        <v>0.57999999999999996</v>
      </c>
      <c r="U22" s="27">
        <f t="shared" si="0"/>
        <v>4306.5</v>
      </c>
      <c r="V22" s="25">
        <v>0</v>
      </c>
      <c r="W22" s="34">
        <v>0</v>
      </c>
      <c r="X22" s="34">
        <v>1</v>
      </c>
      <c r="Y22" s="2">
        <v>0</v>
      </c>
      <c r="Z22" s="34">
        <v>0</v>
      </c>
      <c r="AA22" s="34">
        <v>0</v>
      </c>
      <c r="AB22" s="2">
        <f t="shared" si="2"/>
        <v>1</v>
      </c>
      <c r="AC22" s="32" t="s">
        <v>104</v>
      </c>
    </row>
    <row r="23" spans="2:29" ht="15" customHeight="1" x14ac:dyDescent="0.2">
      <c r="B23" s="2">
        <v>20</v>
      </c>
      <c r="C23" s="2"/>
      <c r="D23" s="24" t="s">
        <v>105</v>
      </c>
      <c r="E23" s="30" t="s">
        <v>92</v>
      </c>
      <c r="F23" s="31" t="s">
        <v>61</v>
      </c>
      <c r="G23" s="31" t="s">
        <v>84</v>
      </c>
      <c r="H23" s="31" t="s">
        <v>21</v>
      </c>
      <c r="I23" s="32" t="s">
        <v>55</v>
      </c>
      <c r="J23" s="32" t="s">
        <v>56</v>
      </c>
      <c r="K23" s="39" t="s">
        <v>64</v>
      </c>
      <c r="L23" s="48">
        <v>43763</v>
      </c>
      <c r="M23" s="34"/>
      <c r="N23" s="35"/>
      <c r="O23" s="48"/>
      <c r="P23" s="31" t="s">
        <v>127</v>
      </c>
      <c r="Q23" s="47">
        <v>75350</v>
      </c>
      <c r="R23" s="37"/>
      <c r="S23" s="26">
        <f t="shared" si="1"/>
        <v>75350</v>
      </c>
      <c r="T23" s="46">
        <v>0.53</v>
      </c>
      <c r="U23" s="27">
        <f t="shared" si="0"/>
        <v>39935.5</v>
      </c>
      <c r="V23" s="25">
        <v>0</v>
      </c>
      <c r="W23" s="34">
        <v>1</v>
      </c>
      <c r="X23" s="34">
        <v>3</v>
      </c>
      <c r="Y23" s="2">
        <v>0</v>
      </c>
      <c r="Z23" s="34">
        <v>0</v>
      </c>
      <c r="AA23" s="34">
        <v>0</v>
      </c>
      <c r="AB23" s="2">
        <f t="shared" si="2"/>
        <v>4</v>
      </c>
      <c r="AC23" s="32"/>
    </row>
    <row r="24" spans="2:29" ht="15" customHeight="1" x14ac:dyDescent="0.2">
      <c r="B24" s="2">
        <v>21</v>
      </c>
      <c r="C24" s="2"/>
      <c r="D24" s="24" t="s">
        <v>107</v>
      </c>
      <c r="E24" s="30" t="s">
        <v>106</v>
      </c>
      <c r="F24" s="31" t="s">
        <v>53</v>
      </c>
      <c r="G24" s="31" t="s">
        <v>77</v>
      </c>
      <c r="H24" s="31" t="s">
        <v>21</v>
      </c>
      <c r="I24" s="32" t="s">
        <v>55</v>
      </c>
      <c r="J24" s="32" t="s">
        <v>69</v>
      </c>
      <c r="K24" s="43" t="s">
        <v>71</v>
      </c>
      <c r="L24" s="48">
        <v>43768</v>
      </c>
      <c r="M24" s="34"/>
      <c r="N24" s="35"/>
      <c r="O24" s="48"/>
      <c r="P24" s="31" t="s">
        <v>127</v>
      </c>
      <c r="Q24" s="47">
        <v>17700</v>
      </c>
      <c r="R24" s="37"/>
      <c r="S24" s="26">
        <f t="shared" si="1"/>
        <v>17700</v>
      </c>
      <c r="T24" s="46">
        <v>0.49</v>
      </c>
      <c r="U24" s="27">
        <f t="shared" si="0"/>
        <v>8673</v>
      </c>
      <c r="V24" s="25">
        <v>0</v>
      </c>
      <c r="W24" s="34">
        <v>1</v>
      </c>
      <c r="X24" s="34">
        <v>2</v>
      </c>
      <c r="Y24" s="2">
        <v>0</v>
      </c>
      <c r="Z24" s="34">
        <v>0</v>
      </c>
      <c r="AA24" s="34">
        <v>0</v>
      </c>
      <c r="AB24" s="2">
        <f t="shared" si="2"/>
        <v>3</v>
      </c>
      <c r="AC24" s="32"/>
    </row>
    <row r="25" spans="2:29" ht="15" customHeight="1" x14ac:dyDescent="0.2">
      <c r="B25" s="2">
        <v>22</v>
      </c>
      <c r="C25" s="2"/>
      <c r="D25" s="24" t="s">
        <v>109</v>
      </c>
      <c r="E25" s="30" t="s">
        <v>108</v>
      </c>
      <c r="F25" s="31" t="s">
        <v>61</v>
      </c>
      <c r="G25" s="31" t="s">
        <v>84</v>
      </c>
      <c r="H25" s="31" t="s">
        <v>21</v>
      </c>
      <c r="I25" s="32" t="s">
        <v>55</v>
      </c>
      <c r="J25" s="32" t="s">
        <v>56</v>
      </c>
      <c r="K25" s="39" t="s">
        <v>64</v>
      </c>
      <c r="L25" s="48">
        <v>43790</v>
      </c>
      <c r="M25" s="34"/>
      <c r="N25" s="35"/>
      <c r="O25" s="48"/>
      <c r="P25" s="31" t="s">
        <v>127</v>
      </c>
      <c r="Q25" s="47">
        <v>26850</v>
      </c>
      <c r="R25" s="37"/>
      <c r="S25" s="26">
        <f t="shared" si="1"/>
        <v>26850</v>
      </c>
      <c r="T25" s="46">
        <v>0.57999999999999996</v>
      </c>
      <c r="U25" s="27">
        <f t="shared" si="0"/>
        <v>15572.999999999998</v>
      </c>
      <c r="V25" s="25">
        <v>0</v>
      </c>
      <c r="W25" s="34">
        <v>1</v>
      </c>
      <c r="X25" s="34">
        <v>1</v>
      </c>
      <c r="Y25" s="2">
        <v>0</v>
      </c>
      <c r="Z25" s="34">
        <v>0</v>
      </c>
      <c r="AA25" s="34">
        <v>0</v>
      </c>
      <c r="AB25" s="2">
        <f t="shared" si="2"/>
        <v>2</v>
      </c>
      <c r="AC25" s="32"/>
    </row>
    <row r="26" spans="2:29" ht="15" customHeight="1" x14ac:dyDescent="0.2">
      <c r="B26" s="2">
        <v>23</v>
      </c>
      <c r="C26" s="2"/>
      <c r="D26" s="24" t="s">
        <v>111</v>
      </c>
      <c r="E26" s="30" t="s">
        <v>110</v>
      </c>
      <c r="F26" s="31" t="s">
        <v>53</v>
      </c>
      <c r="G26" s="31" t="s">
        <v>77</v>
      </c>
      <c r="H26" s="31" t="s">
        <v>34</v>
      </c>
      <c r="I26" s="32" t="s">
        <v>55</v>
      </c>
      <c r="J26" s="32" t="s">
        <v>56</v>
      </c>
      <c r="K26" s="39" t="s">
        <v>64</v>
      </c>
      <c r="L26" s="48">
        <v>43774</v>
      </c>
      <c r="M26" s="34"/>
      <c r="N26" s="35"/>
      <c r="O26" s="48"/>
      <c r="P26" s="31" t="s">
        <v>127</v>
      </c>
      <c r="Q26" s="47">
        <v>64000</v>
      </c>
      <c r="R26" s="37"/>
      <c r="S26" s="26">
        <f t="shared" si="1"/>
        <v>64000</v>
      </c>
      <c r="T26" s="46">
        <v>0.5</v>
      </c>
      <c r="U26" s="27">
        <f t="shared" si="0"/>
        <v>32000</v>
      </c>
      <c r="V26" s="25">
        <v>0</v>
      </c>
      <c r="W26" s="34">
        <v>1</v>
      </c>
      <c r="X26" s="34">
        <v>2</v>
      </c>
      <c r="Y26" s="2">
        <v>0</v>
      </c>
      <c r="Z26" s="34">
        <v>0</v>
      </c>
      <c r="AA26" s="34">
        <v>0</v>
      </c>
      <c r="AB26" s="2">
        <f t="shared" si="2"/>
        <v>3</v>
      </c>
      <c r="AC26" s="32"/>
    </row>
    <row r="27" spans="2:29" ht="15" customHeight="1" x14ac:dyDescent="0.2">
      <c r="B27" s="2">
        <v>24</v>
      </c>
      <c r="C27" s="2"/>
      <c r="D27" s="24" t="s">
        <v>164</v>
      </c>
      <c r="E27" s="30" t="s">
        <v>165</v>
      </c>
      <c r="F27" s="31" t="s">
        <v>53</v>
      </c>
      <c r="G27" s="31" t="s">
        <v>87</v>
      </c>
      <c r="H27" s="31" t="s">
        <v>34</v>
      </c>
      <c r="I27" s="32" t="s">
        <v>55</v>
      </c>
      <c r="J27" s="32" t="s">
        <v>56</v>
      </c>
      <c r="K27" s="39" t="s">
        <v>64</v>
      </c>
      <c r="L27" s="48">
        <v>43811</v>
      </c>
      <c r="M27" s="34" t="s">
        <v>133</v>
      </c>
      <c r="N27" s="35">
        <v>175</v>
      </c>
      <c r="O27" s="48">
        <v>43845</v>
      </c>
      <c r="P27" s="31" t="s">
        <v>127</v>
      </c>
      <c r="Q27" s="47">
        <v>179375</v>
      </c>
      <c r="R27" s="37">
        <v>17400</v>
      </c>
      <c r="S27" s="26">
        <f t="shared" si="1"/>
        <v>196775</v>
      </c>
      <c r="T27" s="46">
        <v>0.58577800000000002</v>
      </c>
      <c r="U27" s="27">
        <f t="shared" si="0"/>
        <v>115266.46595</v>
      </c>
      <c r="V27" s="25">
        <v>0</v>
      </c>
      <c r="W27" s="34">
        <v>1</v>
      </c>
      <c r="X27" s="34">
        <v>1</v>
      </c>
      <c r="Y27" s="2">
        <v>1</v>
      </c>
      <c r="Z27" s="34">
        <v>0</v>
      </c>
      <c r="AA27" s="34">
        <v>1</v>
      </c>
      <c r="AB27" s="2">
        <f t="shared" si="2"/>
        <v>4</v>
      </c>
      <c r="AC27" s="32" t="s">
        <v>166</v>
      </c>
    </row>
    <row r="28" spans="2:29" ht="15" customHeight="1" x14ac:dyDescent="0.2">
      <c r="B28" s="2">
        <v>25</v>
      </c>
      <c r="C28" s="2"/>
      <c r="D28" s="24" t="s">
        <v>167</v>
      </c>
      <c r="E28" s="30" t="s">
        <v>168</v>
      </c>
      <c r="F28" s="31" t="s">
        <v>61</v>
      </c>
      <c r="G28" s="31" t="s">
        <v>87</v>
      </c>
      <c r="H28" s="31" t="s">
        <v>34</v>
      </c>
      <c r="I28" s="32" t="s">
        <v>55</v>
      </c>
      <c r="J28" s="32" t="s">
        <v>56</v>
      </c>
      <c r="K28" s="33" t="s">
        <v>58</v>
      </c>
      <c r="L28" s="48">
        <v>43784</v>
      </c>
      <c r="M28" s="34" t="s">
        <v>133</v>
      </c>
      <c r="N28" s="35">
        <v>60</v>
      </c>
      <c r="O28" s="48">
        <v>43817</v>
      </c>
      <c r="P28" s="31"/>
      <c r="Q28" s="47">
        <v>69750</v>
      </c>
      <c r="R28" s="37"/>
      <c r="S28" s="26">
        <f t="shared" si="1"/>
        <v>69750</v>
      </c>
      <c r="T28" s="46">
        <v>0.55000000000000004</v>
      </c>
      <c r="U28" s="27">
        <f t="shared" si="0"/>
        <v>38362.5</v>
      </c>
      <c r="V28" s="25">
        <v>0</v>
      </c>
      <c r="W28" s="34">
        <v>1</v>
      </c>
      <c r="X28" s="34">
        <v>2</v>
      </c>
      <c r="Y28" s="2">
        <v>0</v>
      </c>
      <c r="Z28" s="34">
        <v>0</v>
      </c>
      <c r="AA28" s="34">
        <v>0</v>
      </c>
      <c r="AB28" s="2">
        <f t="shared" si="2"/>
        <v>3</v>
      </c>
      <c r="AC28" s="32"/>
    </row>
    <row r="29" spans="2:29" ht="15" customHeight="1" x14ac:dyDescent="0.2">
      <c r="B29" s="2">
        <v>26</v>
      </c>
      <c r="C29" s="2"/>
      <c r="D29" s="24" t="s">
        <v>113</v>
      </c>
      <c r="E29" s="30" t="s">
        <v>112</v>
      </c>
      <c r="F29" s="31" t="s">
        <v>61</v>
      </c>
      <c r="G29" s="31" t="s">
        <v>68</v>
      </c>
      <c r="H29" s="31" t="s">
        <v>21</v>
      </c>
      <c r="I29" s="32" t="s">
        <v>55</v>
      </c>
      <c r="J29" s="32" t="s">
        <v>69</v>
      </c>
      <c r="K29" s="33" t="s">
        <v>58</v>
      </c>
      <c r="L29" s="48">
        <v>43767</v>
      </c>
      <c r="M29" s="34" t="s">
        <v>133</v>
      </c>
      <c r="N29" s="35">
        <v>10</v>
      </c>
      <c r="O29" s="48"/>
      <c r="P29" s="31" t="s">
        <v>127</v>
      </c>
      <c r="Q29" s="47">
        <v>5100</v>
      </c>
      <c r="R29" s="37">
        <v>900</v>
      </c>
      <c r="S29" s="26">
        <f t="shared" si="1"/>
        <v>6000</v>
      </c>
      <c r="T29" s="46">
        <v>0.5</v>
      </c>
      <c r="U29" s="27">
        <f t="shared" si="0"/>
        <v>3000</v>
      </c>
      <c r="V29" s="25">
        <v>0</v>
      </c>
      <c r="W29" s="34">
        <v>0</v>
      </c>
      <c r="X29" s="34">
        <v>1</v>
      </c>
      <c r="Y29" s="2">
        <v>0</v>
      </c>
      <c r="Z29" s="34">
        <v>1</v>
      </c>
      <c r="AA29" s="34">
        <v>0</v>
      </c>
      <c r="AB29" s="2">
        <f t="shared" si="2"/>
        <v>2</v>
      </c>
      <c r="AC29" s="32"/>
    </row>
    <row r="30" spans="2:29" ht="15" customHeight="1" x14ac:dyDescent="0.2">
      <c r="B30" s="2">
        <v>27</v>
      </c>
      <c r="C30" s="2"/>
      <c r="D30" s="24" t="s">
        <v>114</v>
      </c>
      <c r="E30" s="30" t="s">
        <v>112</v>
      </c>
      <c r="F30" s="31" t="s">
        <v>61</v>
      </c>
      <c r="G30" s="31" t="s">
        <v>68</v>
      </c>
      <c r="H30" s="31" t="s">
        <v>21</v>
      </c>
      <c r="I30" s="32" t="s">
        <v>55</v>
      </c>
      <c r="J30" s="32" t="s">
        <v>69</v>
      </c>
      <c r="K30" s="33" t="s">
        <v>58</v>
      </c>
      <c r="L30" s="48">
        <v>43701</v>
      </c>
      <c r="M30" s="34" t="s">
        <v>133</v>
      </c>
      <c r="N30" s="35">
        <v>15</v>
      </c>
      <c r="O30" s="48"/>
      <c r="P30" s="31" t="s">
        <v>127</v>
      </c>
      <c r="Q30" s="47">
        <v>5825</v>
      </c>
      <c r="R30" s="37">
        <v>675</v>
      </c>
      <c r="S30" s="26">
        <f t="shared" si="1"/>
        <v>6500</v>
      </c>
      <c r="T30" s="46">
        <v>0.41</v>
      </c>
      <c r="U30" s="27">
        <f t="shared" si="0"/>
        <v>2665</v>
      </c>
      <c r="V30" s="25">
        <v>0</v>
      </c>
      <c r="W30" s="34">
        <v>0</v>
      </c>
      <c r="X30" s="34">
        <v>1</v>
      </c>
      <c r="Y30" s="2">
        <v>0</v>
      </c>
      <c r="Z30" s="34">
        <v>0</v>
      </c>
      <c r="AA30" s="34">
        <v>0</v>
      </c>
      <c r="AB30" s="2">
        <f t="shared" si="2"/>
        <v>1</v>
      </c>
      <c r="AC30" s="32" t="s">
        <v>115</v>
      </c>
    </row>
  </sheetData>
  <mergeCells count="22">
    <mergeCell ref="T2:T3"/>
    <mergeCell ref="U2:U3"/>
    <mergeCell ref="V2:AB2"/>
    <mergeCell ref="AC2:AC3"/>
    <mergeCell ref="N2:N3"/>
    <mergeCell ref="O2:O3"/>
    <mergeCell ref="P2:P3"/>
    <mergeCell ref="Q2:Q3"/>
    <mergeCell ref="R2:R3"/>
    <mergeCell ref="S2:S3"/>
    <mergeCell ref="M2:M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</mergeCells>
  <dataValidations count="5">
    <dataValidation type="list" allowBlank="1" showInputMessage="1" showErrorMessage="1" sqref="P4:P30">
      <formula1>"RPT, LR, Silk Performer, Jmeter"</formula1>
    </dataValidation>
    <dataValidation type="list" allowBlank="1" showInputMessage="1" showErrorMessage="1" sqref="M4:M30">
      <formula1>"BAU, T&amp;M, Fixed Bid"</formula1>
    </dataValidation>
    <dataValidation type="list" allowBlank="1" showInputMessage="1" showErrorMessage="1" sqref="F4:F30">
      <formula1>"NN, EN"</formula1>
    </dataValidation>
    <dataValidation type="list" allowBlank="1" showInputMessage="1" showErrorMessage="1" sqref="I4:I30">
      <formula1>"Performance Testing, API Testing"</formula1>
    </dataValidation>
    <dataValidation type="list" allowBlank="1" showInputMessage="1" showErrorMessage="1" sqref="J4:J30">
      <formula1>"Integrated RFP, Performance RFP"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S37"/>
  <sheetViews>
    <sheetView showGridLines="0" workbookViewId="0"/>
  </sheetViews>
  <sheetFormatPr defaultRowHeight="12.75" x14ac:dyDescent="0.2"/>
  <cols>
    <col min="1" max="1" width="4.5703125" style="1" customWidth="1"/>
    <col min="2" max="2" width="8.7109375" style="1" bestFit="1" customWidth="1"/>
    <col min="3" max="3" width="44.85546875" style="1" bestFit="1" customWidth="1"/>
    <col min="4" max="4" width="7.7109375" style="1" bestFit="1" customWidth="1"/>
    <col min="5" max="5" width="14.140625" style="1" bestFit="1" customWidth="1"/>
    <col min="6" max="6" width="33" style="1" bestFit="1" customWidth="1"/>
    <col min="7" max="7" width="13.28515625" style="1" bestFit="1" customWidth="1"/>
    <col min="8" max="8" width="22.28515625" style="1" bestFit="1" customWidth="1"/>
    <col min="9" max="9" width="10.42578125" style="1" bestFit="1" customWidth="1"/>
    <col min="10" max="10" width="15.140625" style="1" bestFit="1" customWidth="1"/>
    <col min="11" max="11" width="35.42578125" style="1" bestFit="1" customWidth="1"/>
    <col min="12" max="12" width="30.28515625" style="1" bestFit="1" customWidth="1"/>
    <col min="13" max="13" width="43.7109375" style="1" bestFit="1" customWidth="1"/>
    <col min="14" max="14" width="15.140625" style="1" customWidth="1"/>
    <col min="15" max="15" width="15.85546875" style="1" bestFit="1" customWidth="1"/>
    <col min="16" max="16" width="14.140625" style="1" bestFit="1" customWidth="1"/>
    <col min="17" max="17" width="17.28515625" style="1" customWidth="1"/>
    <col min="18" max="18" width="18.85546875" style="1" bestFit="1" customWidth="1"/>
    <col min="19" max="19" width="17.28515625" style="1" bestFit="1" customWidth="1"/>
    <col min="20" max="16384" width="9.140625" style="1"/>
  </cols>
  <sheetData>
    <row r="2" spans="2:19" ht="21.75" customHeight="1" x14ac:dyDescent="0.2"/>
    <row r="3" spans="2:19" ht="15" customHeight="1" x14ac:dyDescent="0.2">
      <c r="B3" s="244" t="s">
        <v>13</v>
      </c>
      <c r="C3" s="244" t="s">
        <v>14</v>
      </c>
      <c r="D3" s="244" t="s">
        <v>15</v>
      </c>
      <c r="E3" s="244" t="s">
        <v>16</v>
      </c>
      <c r="F3" s="244" t="s">
        <v>17</v>
      </c>
      <c r="G3" s="244" t="s">
        <v>19</v>
      </c>
      <c r="H3" s="246" t="s">
        <v>131</v>
      </c>
      <c r="I3" s="244" t="s">
        <v>18</v>
      </c>
      <c r="J3" s="244" t="s">
        <v>128</v>
      </c>
      <c r="K3" s="248" t="s">
        <v>161</v>
      </c>
      <c r="L3" s="249"/>
      <c r="M3" s="249"/>
      <c r="N3" s="249"/>
      <c r="O3" s="250"/>
      <c r="P3" s="246" t="s">
        <v>130</v>
      </c>
      <c r="Q3" s="246" t="s">
        <v>129</v>
      </c>
      <c r="R3" s="246" t="s">
        <v>169</v>
      </c>
      <c r="S3" s="246" t="s">
        <v>119</v>
      </c>
    </row>
    <row r="4" spans="2:19" x14ac:dyDescent="0.2">
      <c r="B4" s="245"/>
      <c r="C4" s="245"/>
      <c r="D4" s="245"/>
      <c r="E4" s="245"/>
      <c r="F4" s="245"/>
      <c r="G4" s="245"/>
      <c r="H4" s="247"/>
      <c r="I4" s="245"/>
      <c r="J4" s="245"/>
      <c r="K4" s="22" t="s">
        <v>120</v>
      </c>
      <c r="L4" s="22" t="s">
        <v>138</v>
      </c>
      <c r="M4" s="22" t="s">
        <v>136</v>
      </c>
      <c r="N4" s="22" t="s">
        <v>137</v>
      </c>
      <c r="O4" s="22" t="s">
        <v>118</v>
      </c>
      <c r="P4" s="247"/>
      <c r="Q4" s="247"/>
      <c r="R4" s="247"/>
      <c r="S4" s="247"/>
    </row>
    <row r="5" spans="2:19" x14ac:dyDescent="0.2">
      <c r="B5" s="49" t="s">
        <v>24</v>
      </c>
      <c r="C5" s="50" t="s">
        <v>428</v>
      </c>
      <c r="D5" s="49" t="s">
        <v>23</v>
      </c>
      <c r="E5" s="49">
        <v>8189864026</v>
      </c>
      <c r="F5" s="51" t="s">
        <v>429</v>
      </c>
      <c r="G5" s="49" t="s">
        <v>22</v>
      </c>
      <c r="H5" s="51" t="s">
        <v>25</v>
      </c>
      <c r="I5" s="51" t="s">
        <v>34</v>
      </c>
      <c r="J5" s="23" t="s">
        <v>430</v>
      </c>
      <c r="K5" s="52" t="s">
        <v>431</v>
      </c>
      <c r="L5" s="52" t="s">
        <v>432</v>
      </c>
      <c r="M5" s="52" t="s">
        <v>433</v>
      </c>
      <c r="N5" s="23">
        <v>1962</v>
      </c>
      <c r="O5" s="3" t="s">
        <v>185</v>
      </c>
      <c r="P5" s="3"/>
      <c r="Q5" s="3"/>
      <c r="R5" s="3" t="s">
        <v>434</v>
      </c>
      <c r="S5" s="3"/>
    </row>
    <row r="6" spans="2:19" x14ac:dyDescent="0.2">
      <c r="B6" s="53">
        <v>4296</v>
      </c>
      <c r="C6" s="50" t="s">
        <v>435</v>
      </c>
      <c r="D6" s="49" t="s">
        <v>23</v>
      </c>
      <c r="E6" s="49">
        <v>9443964901</v>
      </c>
      <c r="F6" s="51" t="s">
        <v>436</v>
      </c>
      <c r="G6" s="53" t="s">
        <v>22</v>
      </c>
      <c r="H6" s="51" t="s">
        <v>437</v>
      </c>
      <c r="I6" s="51" t="s">
        <v>21</v>
      </c>
      <c r="J6" s="23" t="s">
        <v>159</v>
      </c>
      <c r="K6" s="52" t="s">
        <v>438</v>
      </c>
      <c r="L6" s="52" t="s">
        <v>439</v>
      </c>
      <c r="M6" s="52" t="s">
        <v>440</v>
      </c>
      <c r="N6" s="23">
        <v>2059</v>
      </c>
      <c r="O6" s="3" t="s">
        <v>441</v>
      </c>
      <c r="P6" s="3"/>
      <c r="Q6" s="3"/>
      <c r="R6" s="3" t="s">
        <v>442</v>
      </c>
      <c r="S6" s="3"/>
    </row>
    <row r="7" spans="2:19" x14ac:dyDescent="0.2">
      <c r="B7" s="53">
        <v>4288</v>
      </c>
      <c r="C7" s="50" t="s">
        <v>20</v>
      </c>
      <c r="D7" s="49" t="s">
        <v>443</v>
      </c>
      <c r="E7" s="49">
        <v>8754669826</v>
      </c>
      <c r="F7" s="51" t="s">
        <v>444</v>
      </c>
      <c r="G7" s="53" t="s">
        <v>22</v>
      </c>
      <c r="H7" s="51" t="s">
        <v>437</v>
      </c>
      <c r="I7" s="51" t="s">
        <v>21</v>
      </c>
      <c r="J7" s="23" t="s">
        <v>430</v>
      </c>
      <c r="K7" s="52" t="s">
        <v>445</v>
      </c>
      <c r="L7" s="52" t="s">
        <v>446</v>
      </c>
      <c r="M7" s="52" t="s">
        <v>445</v>
      </c>
      <c r="N7" s="23">
        <v>2043</v>
      </c>
      <c r="O7" s="3" t="s">
        <v>185</v>
      </c>
      <c r="P7" s="3"/>
      <c r="Q7" s="3"/>
      <c r="R7" s="3" t="s">
        <v>434</v>
      </c>
      <c r="S7" s="3"/>
    </row>
    <row r="8" spans="2:19" x14ac:dyDescent="0.2">
      <c r="B8" s="53">
        <v>3823</v>
      </c>
      <c r="C8" s="50" t="s">
        <v>447</v>
      </c>
      <c r="D8" s="49" t="s">
        <v>443</v>
      </c>
      <c r="E8" s="49">
        <v>9739556582</v>
      </c>
      <c r="F8" s="51" t="s">
        <v>448</v>
      </c>
      <c r="G8" s="53" t="s">
        <v>22</v>
      </c>
      <c r="H8" s="51" t="s">
        <v>437</v>
      </c>
      <c r="I8" s="51" t="s">
        <v>21</v>
      </c>
      <c r="J8" s="23" t="s">
        <v>159</v>
      </c>
      <c r="K8" s="52" t="s">
        <v>449</v>
      </c>
      <c r="L8" s="52" t="s">
        <v>450</v>
      </c>
      <c r="M8" s="52" t="s">
        <v>451</v>
      </c>
      <c r="N8" s="23">
        <v>1030</v>
      </c>
      <c r="O8" s="3" t="s">
        <v>452</v>
      </c>
      <c r="P8" s="3"/>
      <c r="Q8" s="3"/>
      <c r="R8" s="3" t="s">
        <v>453</v>
      </c>
      <c r="S8" s="3"/>
    </row>
    <row r="9" spans="2:19" x14ac:dyDescent="0.2">
      <c r="B9" s="53">
        <v>3994</v>
      </c>
      <c r="C9" s="50" t="s">
        <v>454</v>
      </c>
      <c r="D9" s="49" t="s">
        <v>443</v>
      </c>
      <c r="E9" s="49">
        <v>8870647034</v>
      </c>
      <c r="F9" s="51" t="s">
        <v>455</v>
      </c>
      <c r="G9" s="53" t="s">
        <v>22</v>
      </c>
      <c r="H9" s="51" t="s">
        <v>456</v>
      </c>
      <c r="I9" s="51" t="s">
        <v>21</v>
      </c>
      <c r="J9" s="23" t="s">
        <v>159</v>
      </c>
      <c r="K9" s="52" t="s">
        <v>67</v>
      </c>
      <c r="L9" s="52" t="s">
        <v>457</v>
      </c>
      <c r="M9" s="52" t="s">
        <v>458</v>
      </c>
      <c r="N9" s="23">
        <v>2104</v>
      </c>
      <c r="O9" s="3" t="s">
        <v>185</v>
      </c>
      <c r="P9" s="3"/>
      <c r="Q9" s="3"/>
      <c r="R9" s="3" t="s">
        <v>459</v>
      </c>
      <c r="S9" s="3"/>
    </row>
    <row r="10" spans="2:19" x14ac:dyDescent="0.2">
      <c r="B10" s="53">
        <v>3434</v>
      </c>
      <c r="C10" s="50" t="s">
        <v>460</v>
      </c>
      <c r="D10" s="49" t="s">
        <v>23</v>
      </c>
      <c r="E10" s="49">
        <v>8296490453</v>
      </c>
      <c r="F10" s="51" t="s">
        <v>461</v>
      </c>
      <c r="G10" s="53" t="s">
        <v>22</v>
      </c>
      <c r="H10" s="51" t="s">
        <v>462</v>
      </c>
      <c r="I10" s="51" t="s">
        <v>21</v>
      </c>
      <c r="J10" s="23" t="s">
        <v>159</v>
      </c>
      <c r="K10" s="52" t="s">
        <v>449</v>
      </c>
      <c r="L10" s="52" t="s">
        <v>450</v>
      </c>
      <c r="M10" s="52" t="s">
        <v>451</v>
      </c>
      <c r="N10" s="23">
        <v>1030</v>
      </c>
      <c r="O10" s="3" t="s">
        <v>452</v>
      </c>
      <c r="P10" s="3"/>
      <c r="Q10" s="3"/>
      <c r="R10" s="3" t="s">
        <v>453</v>
      </c>
      <c r="S10" s="3"/>
    </row>
    <row r="11" spans="2:19" x14ac:dyDescent="0.2">
      <c r="B11" s="53">
        <v>3656</v>
      </c>
      <c r="C11" s="50" t="s">
        <v>463</v>
      </c>
      <c r="D11" s="49" t="s">
        <v>23</v>
      </c>
      <c r="E11" s="49">
        <v>8939134143</v>
      </c>
      <c r="F11" s="51" t="s">
        <v>464</v>
      </c>
      <c r="G11" s="53" t="s">
        <v>22</v>
      </c>
      <c r="H11" s="51" t="s">
        <v>437</v>
      </c>
      <c r="I11" s="51" t="s">
        <v>186</v>
      </c>
      <c r="J11" s="23" t="s">
        <v>159</v>
      </c>
      <c r="K11" s="52" t="s">
        <v>465</v>
      </c>
      <c r="L11" s="52" t="s">
        <v>466</v>
      </c>
      <c r="M11" s="52" t="s">
        <v>467</v>
      </c>
      <c r="N11" s="23">
        <v>2082</v>
      </c>
      <c r="O11" s="3" t="s">
        <v>185</v>
      </c>
      <c r="P11" s="3"/>
      <c r="Q11" s="3"/>
      <c r="R11" s="3" t="s">
        <v>468</v>
      </c>
      <c r="S11" s="3"/>
    </row>
    <row r="12" spans="2:19" x14ac:dyDescent="0.2">
      <c r="B12" s="53">
        <v>3325</v>
      </c>
      <c r="C12" s="50" t="s">
        <v>469</v>
      </c>
      <c r="D12" s="49" t="s">
        <v>23</v>
      </c>
      <c r="E12" s="49">
        <v>8309797952</v>
      </c>
      <c r="F12" s="51" t="s">
        <v>470</v>
      </c>
      <c r="G12" s="53" t="s">
        <v>22</v>
      </c>
      <c r="H12" s="51" t="s">
        <v>437</v>
      </c>
      <c r="I12" s="51" t="s">
        <v>21</v>
      </c>
      <c r="J12" s="23" t="s">
        <v>159</v>
      </c>
      <c r="K12" s="52" t="s">
        <v>449</v>
      </c>
      <c r="L12" s="52" t="s">
        <v>450</v>
      </c>
      <c r="M12" s="52" t="s">
        <v>451</v>
      </c>
      <c r="N12" s="23">
        <v>1030</v>
      </c>
      <c r="O12" s="3" t="s">
        <v>452</v>
      </c>
      <c r="P12" s="3"/>
      <c r="Q12" s="3"/>
      <c r="R12" s="3" t="s">
        <v>453</v>
      </c>
      <c r="S12" s="3"/>
    </row>
    <row r="13" spans="2:19" x14ac:dyDescent="0.2">
      <c r="B13" s="53" t="s">
        <v>26</v>
      </c>
      <c r="C13" s="50" t="s">
        <v>471</v>
      </c>
      <c r="D13" s="49" t="s">
        <v>443</v>
      </c>
      <c r="E13" s="49">
        <v>7358741538</v>
      </c>
      <c r="F13" s="51" t="s">
        <v>472</v>
      </c>
      <c r="G13" s="53" t="s">
        <v>22</v>
      </c>
      <c r="H13" s="51" t="s">
        <v>25</v>
      </c>
      <c r="I13" s="51" t="s">
        <v>21</v>
      </c>
      <c r="J13" s="23" t="s">
        <v>430</v>
      </c>
      <c r="K13" s="52" t="s">
        <v>445</v>
      </c>
      <c r="L13" s="52" t="s">
        <v>434</v>
      </c>
      <c r="M13" s="52" t="s">
        <v>473</v>
      </c>
      <c r="N13" s="23">
        <v>2043</v>
      </c>
      <c r="O13" s="3" t="s">
        <v>185</v>
      </c>
      <c r="P13" s="3"/>
      <c r="Q13" s="3"/>
      <c r="R13" s="3" t="s">
        <v>474</v>
      </c>
      <c r="S13" s="3"/>
    </row>
    <row r="14" spans="2:19" x14ac:dyDescent="0.2">
      <c r="B14" s="53">
        <v>3343</v>
      </c>
      <c r="C14" s="50" t="s">
        <v>475</v>
      </c>
      <c r="D14" s="49" t="s">
        <v>23</v>
      </c>
      <c r="E14" s="49">
        <v>7845182268</v>
      </c>
      <c r="F14" s="51" t="s">
        <v>476</v>
      </c>
      <c r="G14" s="53" t="s">
        <v>22</v>
      </c>
      <c r="H14" s="51" t="s">
        <v>477</v>
      </c>
      <c r="I14" s="51" t="s">
        <v>21</v>
      </c>
      <c r="J14" s="23" t="s">
        <v>430</v>
      </c>
      <c r="K14" s="52" t="s">
        <v>445</v>
      </c>
      <c r="L14" s="52" t="s">
        <v>446</v>
      </c>
      <c r="M14" s="52" t="s">
        <v>445</v>
      </c>
      <c r="N14" s="23">
        <v>2043</v>
      </c>
      <c r="O14" s="3" t="s">
        <v>185</v>
      </c>
      <c r="P14" s="3"/>
      <c r="Q14" s="3"/>
      <c r="R14" s="3" t="s">
        <v>478</v>
      </c>
      <c r="S14" s="3"/>
    </row>
    <row r="15" spans="2:19" x14ac:dyDescent="0.2">
      <c r="B15" s="53">
        <v>3315</v>
      </c>
      <c r="C15" s="50" t="s">
        <v>479</v>
      </c>
      <c r="D15" s="49" t="s">
        <v>23</v>
      </c>
      <c r="E15" s="49">
        <v>8220179694</v>
      </c>
      <c r="F15" s="51" t="s">
        <v>480</v>
      </c>
      <c r="G15" s="53" t="s">
        <v>22</v>
      </c>
      <c r="H15" s="51" t="s">
        <v>477</v>
      </c>
      <c r="I15" s="51" t="s">
        <v>21</v>
      </c>
      <c r="J15" s="23" t="s">
        <v>159</v>
      </c>
      <c r="K15" s="52" t="s">
        <v>481</v>
      </c>
      <c r="L15" s="52" t="s">
        <v>482</v>
      </c>
      <c r="M15" s="52" t="s">
        <v>483</v>
      </c>
      <c r="N15" s="23">
        <v>1945</v>
      </c>
      <c r="O15" s="3" t="s">
        <v>441</v>
      </c>
      <c r="P15" s="3"/>
      <c r="Q15" s="3"/>
      <c r="R15" s="3" t="s">
        <v>484</v>
      </c>
      <c r="S15" s="3"/>
    </row>
    <row r="16" spans="2:19" x14ac:dyDescent="0.2">
      <c r="B16" s="53">
        <v>4225</v>
      </c>
      <c r="C16" s="50" t="s">
        <v>485</v>
      </c>
      <c r="D16" s="49" t="s">
        <v>443</v>
      </c>
      <c r="E16" s="49">
        <v>9603965295</v>
      </c>
      <c r="F16" s="51" t="s">
        <v>486</v>
      </c>
      <c r="G16" s="53" t="s">
        <v>22</v>
      </c>
      <c r="H16" s="51" t="s">
        <v>437</v>
      </c>
      <c r="I16" s="51" t="s">
        <v>34</v>
      </c>
      <c r="J16" s="23" t="s">
        <v>430</v>
      </c>
      <c r="K16" s="52" t="s">
        <v>431</v>
      </c>
      <c r="L16" s="52" t="s">
        <v>432</v>
      </c>
      <c r="M16" s="52" t="s">
        <v>433</v>
      </c>
      <c r="N16" s="23">
        <v>1962</v>
      </c>
      <c r="O16" s="3" t="s">
        <v>185</v>
      </c>
      <c r="P16" s="3"/>
      <c r="Q16" s="3"/>
      <c r="R16" s="3" t="s">
        <v>478</v>
      </c>
      <c r="S16" s="3"/>
    </row>
    <row r="17" spans="2:19" x14ac:dyDescent="0.2">
      <c r="B17" s="53">
        <v>3642</v>
      </c>
      <c r="C17" s="50" t="s">
        <v>487</v>
      </c>
      <c r="D17" s="49" t="s">
        <v>23</v>
      </c>
      <c r="E17" s="49">
        <v>9677279441</v>
      </c>
      <c r="F17" s="51" t="s">
        <v>488</v>
      </c>
      <c r="G17" s="53" t="s">
        <v>22</v>
      </c>
      <c r="H17" s="51" t="s">
        <v>437</v>
      </c>
      <c r="I17" s="51" t="s">
        <v>21</v>
      </c>
      <c r="J17" s="23" t="s">
        <v>159</v>
      </c>
      <c r="K17" s="52" t="s">
        <v>449</v>
      </c>
      <c r="L17" s="52" t="s">
        <v>450</v>
      </c>
      <c r="M17" s="52" t="s">
        <v>451</v>
      </c>
      <c r="N17" s="23">
        <v>1030</v>
      </c>
      <c r="O17" s="3" t="s">
        <v>452</v>
      </c>
      <c r="P17" s="3"/>
      <c r="Q17" s="3"/>
      <c r="R17" s="3" t="s">
        <v>489</v>
      </c>
      <c r="S17" s="3"/>
    </row>
    <row r="18" spans="2:19" x14ac:dyDescent="0.2">
      <c r="B18" s="53">
        <v>3341</v>
      </c>
      <c r="C18" s="50" t="s">
        <v>490</v>
      </c>
      <c r="D18" s="49" t="s">
        <v>443</v>
      </c>
      <c r="E18" s="49">
        <v>8056259236</v>
      </c>
      <c r="F18" s="51" t="s">
        <v>491</v>
      </c>
      <c r="G18" s="53" t="s">
        <v>22</v>
      </c>
      <c r="H18" s="51" t="s">
        <v>477</v>
      </c>
      <c r="I18" s="51" t="s">
        <v>34</v>
      </c>
      <c r="J18" s="23" t="s">
        <v>430</v>
      </c>
      <c r="K18" s="52" t="s">
        <v>431</v>
      </c>
      <c r="L18" s="52" t="s">
        <v>432</v>
      </c>
      <c r="M18" s="52" t="s">
        <v>433</v>
      </c>
      <c r="N18" s="23">
        <v>1962</v>
      </c>
      <c r="O18" s="3" t="s">
        <v>185</v>
      </c>
      <c r="P18" s="3"/>
      <c r="Q18" s="3"/>
      <c r="R18" s="3" t="s">
        <v>478</v>
      </c>
      <c r="S18" s="3"/>
    </row>
    <row r="19" spans="2:19" x14ac:dyDescent="0.2">
      <c r="B19" s="53">
        <v>2959</v>
      </c>
      <c r="C19" s="50" t="s">
        <v>492</v>
      </c>
      <c r="D19" s="49" t="s">
        <v>23</v>
      </c>
      <c r="E19" s="49">
        <v>9597693708</v>
      </c>
      <c r="F19" s="51" t="s">
        <v>493</v>
      </c>
      <c r="G19" s="53" t="s">
        <v>22</v>
      </c>
      <c r="H19" s="51" t="s">
        <v>477</v>
      </c>
      <c r="I19" s="51" t="s">
        <v>34</v>
      </c>
      <c r="J19" s="23" t="s">
        <v>430</v>
      </c>
      <c r="K19" s="52" t="s">
        <v>431</v>
      </c>
      <c r="L19" s="52" t="s">
        <v>432</v>
      </c>
      <c r="M19" s="52" t="s">
        <v>433</v>
      </c>
      <c r="N19" s="23">
        <v>1962</v>
      </c>
      <c r="O19" s="3" t="s">
        <v>185</v>
      </c>
      <c r="P19" s="3"/>
      <c r="Q19" s="3"/>
      <c r="R19" s="3" t="s">
        <v>434</v>
      </c>
      <c r="S19" s="3"/>
    </row>
    <row r="20" spans="2:19" x14ac:dyDescent="0.2">
      <c r="B20" s="53">
        <v>2901</v>
      </c>
      <c r="C20" s="50" t="s">
        <v>494</v>
      </c>
      <c r="D20" s="49" t="s">
        <v>23</v>
      </c>
      <c r="E20" s="49">
        <v>9524681280</v>
      </c>
      <c r="F20" s="51" t="s">
        <v>495</v>
      </c>
      <c r="G20" s="53" t="s">
        <v>22</v>
      </c>
      <c r="H20" s="51" t="s">
        <v>496</v>
      </c>
      <c r="I20" s="51" t="s">
        <v>21</v>
      </c>
      <c r="J20" s="23" t="s">
        <v>430</v>
      </c>
      <c r="K20" s="52" t="s">
        <v>445</v>
      </c>
      <c r="L20" s="52" t="s">
        <v>446</v>
      </c>
      <c r="M20" s="52" t="s">
        <v>445</v>
      </c>
      <c r="N20" s="23">
        <v>2043</v>
      </c>
      <c r="O20" s="3" t="s">
        <v>185</v>
      </c>
      <c r="P20" s="3"/>
      <c r="Q20" s="3"/>
      <c r="R20" s="3" t="s">
        <v>478</v>
      </c>
      <c r="S20" s="3"/>
    </row>
    <row r="21" spans="2:19" x14ac:dyDescent="0.2">
      <c r="B21" s="53" t="s">
        <v>28</v>
      </c>
      <c r="C21" s="50" t="s">
        <v>29</v>
      </c>
      <c r="D21" s="49" t="s">
        <v>23</v>
      </c>
      <c r="E21" s="49">
        <v>9786986811</v>
      </c>
      <c r="F21" s="51" t="s">
        <v>30</v>
      </c>
      <c r="G21" s="53" t="s">
        <v>22</v>
      </c>
      <c r="H21" s="51" t="s">
        <v>25</v>
      </c>
      <c r="I21" s="51" t="s">
        <v>34</v>
      </c>
      <c r="J21" s="23" t="s">
        <v>430</v>
      </c>
      <c r="K21" s="52" t="s">
        <v>431</v>
      </c>
      <c r="L21" s="52" t="s">
        <v>432</v>
      </c>
      <c r="M21" s="52" t="s">
        <v>433</v>
      </c>
      <c r="N21" s="23">
        <v>1962</v>
      </c>
      <c r="O21" s="3" t="s">
        <v>185</v>
      </c>
      <c r="P21" s="3"/>
      <c r="Q21" s="3"/>
      <c r="R21" s="3" t="s">
        <v>434</v>
      </c>
      <c r="S21" s="3"/>
    </row>
    <row r="22" spans="2:19" x14ac:dyDescent="0.2">
      <c r="B22" s="53">
        <v>3997</v>
      </c>
      <c r="C22" s="50" t="s">
        <v>497</v>
      </c>
      <c r="D22" s="49" t="s">
        <v>23</v>
      </c>
      <c r="E22" s="49">
        <v>8341443699</v>
      </c>
      <c r="F22" s="51" t="s">
        <v>498</v>
      </c>
      <c r="G22" s="53" t="s">
        <v>22</v>
      </c>
      <c r="H22" s="51" t="s">
        <v>456</v>
      </c>
      <c r="I22" s="51" t="s">
        <v>21</v>
      </c>
      <c r="J22" s="23" t="s">
        <v>159</v>
      </c>
      <c r="K22" s="52" t="s">
        <v>499</v>
      </c>
      <c r="L22" s="52" t="s">
        <v>500</v>
      </c>
      <c r="M22" s="52" t="s">
        <v>501</v>
      </c>
      <c r="N22" s="23">
        <v>1992</v>
      </c>
      <c r="O22" s="3" t="s">
        <v>502</v>
      </c>
      <c r="P22" s="3"/>
      <c r="Q22" s="3"/>
      <c r="R22" s="3" t="s">
        <v>503</v>
      </c>
      <c r="S22" s="3"/>
    </row>
    <row r="23" spans="2:19" x14ac:dyDescent="0.2">
      <c r="B23" s="53" t="s">
        <v>27</v>
      </c>
      <c r="C23" s="50" t="s">
        <v>504</v>
      </c>
      <c r="D23" s="49" t="s">
        <v>443</v>
      </c>
      <c r="E23" s="49">
        <v>8675684136</v>
      </c>
      <c r="F23" s="51" t="s">
        <v>505</v>
      </c>
      <c r="G23" s="53" t="s">
        <v>22</v>
      </c>
      <c r="H23" s="51" t="s">
        <v>25</v>
      </c>
      <c r="I23" s="51" t="s">
        <v>21</v>
      </c>
      <c r="J23" s="23" t="s">
        <v>159</v>
      </c>
      <c r="K23" s="52" t="s">
        <v>506</v>
      </c>
      <c r="L23" s="52" t="s">
        <v>450</v>
      </c>
      <c r="M23" s="52" t="s">
        <v>507</v>
      </c>
      <c r="N23" s="23">
        <v>1115</v>
      </c>
      <c r="O23" s="3" t="s">
        <v>508</v>
      </c>
      <c r="P23" s="3"/>
      <c r="Q23" s="3"/>
      <c r="R23" s="3" t="s">
        <v>509</v>
      </c>
      <c r="S23" s="3"/>
    </row>
    <row r="24" spans="2:19" x14ac:dyDescent="0.2">
      <c r="B24" s="53">
        <v>3786</v>
      </c>
      <c r="C24" s="50" t="s">
        <v>510</v>
      </c>
      <c r="D24" s="49" t="s">
        <v>443</v>
      </c>
      <c r="E24" s="49">
        <v>8428239040</v>
      </c>
      <c r="F24" s="51" t="s">
        <v>511</v>
      </c>
      <c r="G24" s="53" t="s">
        <v>22</v>
      </c>
      <c r="H24" s="51" t="s">
        <v>456</v>
      </c>
      <c r="I24" s="51" t="s">
        <v>512</v>
      </c>
      <c r="J24" s="23" t="s">
        <v>159</v>
      </c>
      <c r="K24" s="52" t="s">
        <v>513</v>
      </c>
      <c r="L24" s="52" t="s">
        <v>514</v>
      </c>
      <c r="M24" s="52" t="s">
        <v>515</v>
      </c>
      <c r="N24" s="23">
        <v>2007</v>
      </c>
      <c r="O24" s="3" t="s">
        <v>185</v>
      </c>
      <c r="P24" s="3"/>
      <c r="Q24" s="3"/>
      <c r="R24" s="3" t="s">
        <v>516</v>
      </c>
      <c r="S24" s="3"/>
    </row>
    <row r="25" spans="2:19" x14ac:dyDescent="0.2">
      <c r="B25" s="53">
        <v>3540</v>
      </c>
      <c r="C25" s="50" t="s">
        <v>517</v>
      </c>
      <c r="D25" s="49" t="s">
        <v>23</v>
      </c>
      <c r="E25" s="49">
        <v>9790735611</v>
      </c>
      <c r="F25" s="51" t="s">
        <v>518</v>
      </c>
      <c r="G25" s="53" t="s">
        <v>22</v>
      </c>
      <c r="H25" s="51" t="s">
        <v>160</v>
      </c>
      <c r="I25" s="51" t="s">
        <v>34</v>
      </c>
      <c r="J25" s="23" t="s">
        <v>430</v>
      </c>
      <c r="K25" s="52" t="s">
        <v>519</v>
      </c>
      <c r="L25" s="52" t="s">
        <v>520</v>
      </c>
      <c r="M25" s="52" t="s">
        <v>521</v>
      </c>
      <c r="N25" s="23">
        <v>1921</v>
      </c>
      <c r="O25" s="3" t="s">
        <v>522</v>
      </c>
      <c r="P25" s="3"/>
      <c r="Q25" s="3"/>
      <c r="R25" s="3" t="s">
        <v>434</v>
      </c>
      <c r="S25" s="3"/>
    </row>
    <row r="26" spans="2:19" x14ac:dyDescent="0.2">
      <c r="B26" s="53">
        <v>3999</v>
      </c>
      <c r="C26" s="50" t="s">
        <v>523</v>
      </c>
      <c r="D26" s="49" t="s">
        <v>23</v>
      </c>
      <c r="E26" s="49">
        <v>9962605307</v>
      </c>
      <c r="F26" s="51" t="s">
        <v>524</v>
      </c>
      <c r="G26" s="53" t="s">
        <v>22</v>
      </c>
      <c r="H26" s="51" t="s">
        <v>456</v>
      </c>
      <c r="I26" s="51" t="s">
        <v>34</v>
      </c>
      <c r="J26" s="23" t="s">
        <v>430</v>
      </c>
      <c r="K26" s="52" t="s">
        <v>431</v>
      </c>
      <c r="L26" s="52" t="s">
        <v>432</v>
      </c>
      <c r="M26" s="52" t="s">
        <v>433</v>
      </c>
      <c r="N26" s="23">
        <v>1962</v>
      </c>
      <c r="O26" s="3" t="s">
        <v>185</v>
      </c>
      <c r="P26" s="3"/>
      <c r="Q26" s="3"/>
      <c r="R26" s="3" t="s">
        <v>474</v>
      </c>
      <c r="S26" s="3"/>
    </row>
    <row r="27" spans="2:19" x14ac:dyDescent="0.2">
      <c r="B27" s="53">
        <v>3774</v>
      </c>
      <c r="C27" s="50" t="s">
        <v>525</v>
      </c>
      <c r="D27" s="49" t="s">
        <v>23</v>
      </c>
      <c r="E27" s="49">
        <v>9940432335</v>
      </c>
      <c r="F27" s="51" t="s">
        <v>526</v>
      </c>
      <c r="G27" s="53" t="s">
        <v>22</v>
      </c>
      <c r="H27" s="51" t="s">
        <v>456</v>
      </c>
      <c r="I27" s="51" t="s">
        <v>186</v>
      </c>
      <c r="J27" s="23" t="s">
        <v>159</v>
      </c>
      <c r="K27" s="52" t="s">
        <v>527</v>
      </c>
      <c r="L27" s="52" t="s">
        <v>528</v>
      </c>
      <c r="M27" s="52" t="s">
        <v>529</v>
      </c>
      <c r="N27" s="23">
        <v>1657</v>
      </c>
      <c r="O27" s="3" t="s">
        <v>185</v>
      </c>
      <c r="P27" s="3"/>
      <c r="Q27" s="3"/>
      <c r="R27" s="3" t="s">
        <v>442</v>
      </c>
      <c r="S27" s="3"/>
    </row>
    <row r="28" spans="2:19" x14ac:dyDescent="0.2">
      <c r="B28" s="53" t="s">
        <v>31</v>
      </c>
      <c r="C28" s="50" t="s">
        <v>530</v>
      </c>
      <c r="D28" s="49" t="s">
        <v>23</v>
      </c>
      <c r="E28" s="49">
        <v>9496570804</v>
      </c>
      <c r="F28" s="51" t="s">
        <v>531</v>
      </c>
      <c r="G28" s="53" t="s">
        <v>22</v>
      </c>
      <c r="H28" s="51" t="s">
        <v>25</v>
      </c>
      <c r="I28" s="51" t="s">
        <v>21</v>
      </c>
      <c r="J28" s="23" t="s">
        <v>430</v>
      </c>
      <c r="K28" s="52" t="s">
        <v>445</v>
      </c>
      <c r="L28" s="52" t="s">
        <v>434</v>
      </c>
      <c r="M28" s="52" t="s">
        <v>473</v>
      </c>
      <c r="N28" s="23">
        <v>2043</v>
      </c>
      <c r="O28" s="3" t="s">
        <v>185</v>
      </c>
      <c r="P28" s="3"/>
      <c r="Q28" s="3"/>
      <c r="R28" s="3" t="s">
        <v>474</v>
      </c>
      <c r="S28" s="3"/>
    </row>
    <row r="29" spans="2:19" x14ac:dyDescent="0.2">
      <c r="B29" s="53">
        <v>4012</v>
      </c>
      <c r="C29" s="50" t="s">
        <v>532</v>
      </c>
      <c r="D29" s="49" t="s">
        <v>23</v>
      </c>
      <c r="E29" s="49">
        <v>8489354589</v>
      </c>
      <c r="F29" s="51" t="s">
        <v>533</v>
      </c>
      <c r="G29" s="53" t="s">
        <v>22</v>
      </c>
      <c r="H29" s="51" t="s">
        <v>456</v>
      </c>
      <c r="I29" s="51" t="s">
        <v>21</v>
      </c>
      <c r="J29" s="23" t="s">
        <v>430</v>
      </c>
      <c r="K29" s="52" t="s">
        <v>445</v>
      </c>
      <c r="L29" s="52" t="s">
        <v>434</v>
      </c>
      <c r="M29" s="52" t="s">
        <v>473</v>
      </c>
      <c r="N29" s="23">
        <v>2043</v>
      </c>
      <c r="O29" s="3" t="s">
        <v>185</v>
      </c>
      <c r="P29" s="3"/>
      <c r="Q29" s="3"/>
      <c r="R29" s="3" t="s">
        <v>474</v>
      </c>
      <c r="S29" s="3"/>
    </row>
    <row r="30" spans="2:19" x14ac:dyDescent="0.2">
      <c r="B30" s="53">
        <v>1416</v>
      </c>
      <c r="C30" s="50" t="s">
        <v>534</v>
      </c>
      <c r="D30" s="49" t="s">
        <v>23</v>
      </c>
      <c r="E30" s="49">
        <v>9566582681</v>
      </c>
      <c r="F30" s="51" t="s">
        <v>535</v>
      </c>
      <c r="G30" s="53" t="s">
        <v>22</v>
      </c>
      <c r="H30" s="51" t="s">
        <v>536</v>
      </c>
      <c r="I30" s="51" t="s">
        <v>21</v>
      </c>
      <c r="J30" s="23" t="s">
        <v>159</v>
      </c>
      <c r="K30" s="52" t="s">
        <v>449</v>
      </c>
      <c r="L30" s="52" t="s">
        <v>450</v>
      </c>
      <c r="M30" s="52" t="s">
        <v>451</v>
      </c>
      <c r="N30" s="23">
        <v>1030</v>
      </c>
      <c r="O30" s="3" t="s">
        <v>452</v>
      </c>
      <c r="P30" s="3"/>
      <c r="Q30" s="3"/>
      <c r="R30" s="3" t="s">
        <v>453</v>
      </c>
      <c r="S30" s="3"/>
    </row>
    <row r="31" spans="2:19" x14ac:dyDescent="0.2">
      <c r="B31" s="53">
        <v>2918</v>
      </c>
      <c r="C31" s="50" t="s">
        <v>537</v>
      </c>
      <c r="D31" s="49" t="s">
        <v>23</v>
      </c>
      <c r="E31" s="49">
        <v>8438500842</v>
      </c>
      <c r="F31" s="51" t="s">
        <v>538</v>
      </c>
      <c r="G31" s="53" t="s">
        <v>22</v>
      </c>
      <c r="H31" s="51" t="s">
        <v>496</v>
      </c>
      <c r="I31" s="51" t="s">
        <v>34</v>
      </c>
      <c r="J31" s="23" t="s">
        <v>159</v>
      </c>
      <c r="K31" s="52" t="s">
        <v>539</v>
      </c>
      <c r="L31" s="52" t="s">
        <v>540</v>
      </c>
      <c r="M31" s="52" t="s">
        <v>187</v>
      </c>
      <c r="N31" s="23">
        <v>2057</v>
      </c>
      <c r="O31" s="3" t="s">
        <v>522</v>
      </c>
      <c r="P31" s="3"/>
      <c r="Q31" s="3"/>
      <c r="R31" s="3" t="s">
        <v>442</v>
      </c>
      <c r="S31" s="3"/>
    </row>
    <row r="32" spans="2:19" x14ac:dyDescent="0.2">
      <c r="B32" s="53" t="s">
        <v>35</v>
      </c>
      <c r="C32" s="50" t="s">
        <v>541</v>
      </c>
      <c r="D32" s="49" t="s">
        <v>23</v>
      </c>
      <c r="E32" s="49">
        <v>9962999964</v>
      </c>
      <c r="F32" s="51" t="s">
        <v>542</v>
      </c>
      <c r="G32" s="53" t="s">
        <v>22</v>
      </c>
      <c r="H32" s="51" t="s">
        <v>25</v>
      </c>
      <c r="I32" s="51" t="s">
        <v>34</v>
      </c>
      <c r="J32" s="23" t="s">
        <v>159</v>
      </c>
      <c r="K32" s="52" t="s">
        <v>519</v>
      </c>
      <c r="L32" s="52" t="s">
        <v>520</v>
      </c>
      <c r="M32" s="52" t="s">
        <v>521</v>
      </c>
      <c r="N32" s="23">
        <v>1921</v>
      </c>
      <c r="O32" s="3" t="s">
        <v>522</v>
      </c>
      <c r="P32" s="3"/>
      <c r="Q32" s="3"/>
      <c r="R32" s="3" t="s">
        <v>543</v>
      </c>
      <c r="S32" s="3"/>
    </row>
    <row r="33" spans="2:19" x14ac:dyDescent="0.2">
      <c r="B33" s="53">
        <v>1812</v>
      </c>
      <c r="C33" s="50" t="s">
        <v>544</v>
      </c>
      <c r="D33" s="49" t="s">
        <v>23</v>
      </c>
      <c r="E33" s="49">
        <v>9500111272</v>
      </c>
      <c r="F33" s="51" t="s">
        <v>545</v>
      </c>
      <c r="G33" s="53" t="s">
        <v>22</v>
      </c>
      <c r="H33" s="51" t="s">
        <v>496</v>
      </c>
      <c r="I33" s="51" t="s">
        <v>34</v>
      </c>
      <c r="J33" s="23" t="s">
        <v>430</v>
      </c>
      <c r="K33" s="52" t="s">
        <v>431</v>
      </c>
      <c r="L33" s="52" t="s">
        <v>432</v>
      </c>
      <c r="M33" s="52" t="s">
        <v>433</v>
      </c>
      <c r="N33" s="23">
        <v>1962</v>
      </c>
      <c r="O33" s="3" t="s">
        <v>185</v>
      </c>
      <c r="P33" s="3"/>
      <c r="Q33" s="3"/>
      <c r="R33" s="3" t="s">
        <v>478</v>
      </c>
      <c r="S33" s="3"/>
    </row>
    <row r="34" spans="2:19" x14ac:dyDescent="0.2">
      <c r="B34" s="53">
        <v>2910</v>
      </c>
      <c r="C34" s="50" t="s">
        <v>546</v>
      </c>
      <c r="D34" s="49" t="s">
        <v>23</v>
      </c>
      <c r="E34" s="49">
        <v>9791828436</v>
      </c>
      <c r="F34" s="51" t="s">
        <v>547</v>
      </c>
      <c r="G34" s="53" t="s">
        <v>22</v>
      </c>
      <c r="H34" s="51" t="s">
        <v>496</v>
      </c>
      <c r="I34" s="51" t="s">
        <v>34</v>
      </c>
      <c r="J34" s="23" t="s">
        <v>430</v>
      </c>
      <c r="K34" s="52" t="s">
        <v>431</v>
      </c>
      <c r="L34" s="52" t="s">
        <v>432</v>
      </c>
      <c r="M34" s="52" t="s">
        <v>433</v>
      </c>
      <c r="N34" s="23">
        <v>1962</v>
      </c>
      <c r="O34" s="3" t="s">
        <v>185</v>
      </c>
      <c r="P34" s="3"/>
      <c r="Q34" s="3"/>
      <c r="R34" s="3" t="s">
        <v>478</v>
      </c>
      <c r="S34" s="3"/>
    </row>
    <row r="35" spans="2:19" x14ac:dyDescent="0.2">
      <c r="B35" s="53">
        <v>3545</v>
      </c>
      <c r="C35" s="50" t="s">
        <v>548</v>
      </c>
      <c r="D35" s="49" t="s">
        <v>23</v>
      </c>
      <c r="E35" s="49">
        <v>9789086470</v>
      </c>
      <c r="F35" s="51" t="s">
        <v>549</v>
      </c>
      <c r="G35" s="53" t="s">
        <v>22</v>
      </c>
      <c r="H35" s="51" t="s">
        <v>536</v>
      </c>
      <c r="I35" s="51" t="s">
        <v>34</v>
      </c>
      <c r="J35" s="23" t="s">
        <v>159</v>
      </c>
      <c r="K35" s="52" t="s">
        <v>550</v>
      </c>
      <c r="L35" s="52" t="s">
        <v>551</v>
      </c>
      <c r="M35" s="52" t="s">
        <v>552</v>
      </c>
      <c r="N35" s="23">
        <v>2112</v>
      </c>
      <c r="O35" s="3" t="s">
        <v>522</v>
      </c>
      <c r="P35" s="3"/>
      <c r="Q35" s="3"/>
      <c r="R35" s="3" t="s">
        <v>553</v>
      </c>
      <c r="S35" s="3"/>
    </row>
    <row r="36" spans="2:19" x14ac:dyDescent="0.2">
      <c r="B36" s="23">
        <v>704</v>
      </c>
      <c r="C36" s="50" t="s">
        <v>36</v>
      </c>
      <c r="D36" s="23" t="s">
        <v>23</v>
      </c>
      <c r="E36" s="23">
        <v>9894882277</v>
      </c>
      <c r="F36" s="51" t="s">
        <v>37</v>
      </c>
      <c r="G36" s="23" t="s">
        <v>22</v>
      </c>
      <c r="H36" s="23" t="s">
        <v>170</v>
      </c>
      <c r="I36" s="23" t="s">
        <v>34</v>
      </c>
      <c r="J36" s="23"/>
      <c r="K36" s="52" t="e">
        <v>#N/A</v>
      </c>
      <c r="L36" s="52" t="s">
        <v>171</v>
      </c>
      <c r="M36" s="52" t="e">
        <v>#N/A</v>
      </c>
      <c r="N36" s="23" t="e">
        <v>#N/A</v>
      </c>
      <c r="O36" s="3" t="e">
        <v>#N/A</v>
      </c>
      <c r="P36" s="3"/>
      <c r="Q36" s="3"/>
      <c r="R36" s="3" t="e">
        <v>#N/A</v>
      </c>
      <c r="S36" s="3"/>
    </row>
    <row r="37" spans="2:19" x14ac:dyDescent="0.2">
      <c r="B37" s="23">
        <v>1451</v>
      </c>
      <c r="C37" s="50" t="s">
        <v>32</v>
      </c>
      <c r="D37" s="23" t="s">
        <v>23</v>
      </c>
      <c r="E37" s="23">
        <v>9952222761</v>
      </c>
      <c r="F37" s="51" t="s">
        <v>33</v>
      </c>
      <c r="G37" s="23" t="s">
        <v>22</v>
      </c>
      <c r="H37" s="23" t="s">
        <v>160</v>
      </c>
      <c r="I37" s="23" t="s">
        <v>34</v>
      </c>
      <c r="J37" s="23"/>
      <c r="K37" s="52" t="e">
        <v>#N/A</v>
      </c>
      <c r="L37" s="52" t="s">
        <v>171</v>
      </c>
      <c r="M37" s="52" t="e">
        <v>#N/A</v>
      </c>
      <c r="N37" s="23" t="e">
        <v>#N/A</v>
      </c>
      <c r="O37" s="3" t="e">
        <v>#N/A</v>
      </c>
      <c r="P37" s="3"/>
      <c r="Q37" s="3"/>
      <c r="R37" s="3" t="e">
        <v>#N/A</v>
      </c>
      <c r="S37" s="3"/>
    </row>
  </sheetData>
  <mergeCells count="14">
    <mergeCell ref="R3:R4"/>
    <mergeCell ref="S3:S4"/>
    <mergeCell ref="H3:H4"/>
    <mergeCell ref="I3:I4"/>
    <mergeCell ref="J3:J4"/>
    <mergeCell ref="K3:O3"/>
    <mergeCell ref="P3:P4"/>
    <mergeCell ref="Q3:Q4"/>
    <mergeCell ref="G3:G4"/>
    <mergeCell ref="B3:B4"/>
    <mergeCell ref="C3:C4"/>
    <mergeCell ref="D3:D4"/>
    <mergeCell ref="E3:E4"/>
    <mergeCell ref="F3:F4"/>
  </mergeCells>
  <conditionalFormatting sqref="C5:C36">
    <cfRule type="duplicateValues" dxfId="81" priority="2"/>
  </conditionalFormatting>
  <conditionalFormatting sqref="C37">
    <cfRule type="duplicateValues" dxfId="80" priority="1"/>
  </conditionalFormatting>
  <dataValidations count="1">
    <dataValidation type="list" allowBlank="1" showInputMessage="1" showErrorMessage="1" sqref="J5:J37">
      <formula1>"Assigned, Deployed, Blocked, Available"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3DC75E"/>
  </sheetPr>
  <dimension ref="B4:S29"/>
  <sheetViews>
    <sheetView showGridLines="0" zoomScale="78" zoomScaleNormal="78" workbookViewId="0">
      <selection activeCell="C27" sqref="C27"/>
    </sheetView>
  </sheetViews>
  <sheetFormatPr defaultRowHeight="15" x14ac:dyDescent="0.25"/>
  <cols>
    <col min="1" max="1" width="3.42578125" customWidth="1"/>
    <col min="2" max="2" width="30.140625" customWidth="1"/>
    <col min="3" max="3" width="18.140625" customWidth="1"/>
    <col min="4" max="4" width="11" customWidth="1"/>
    <col min="5" max="5" width="8.42578125" customWidth="1"/>
    <col min="6" max="6" width="11.28515625" customWidth="1"/>
    <col min="7" max="7" width="5.140625" customWidth="1"/>
    <col min="8" max="8" width="38.42578125" customWidth="1"/>
    <col min="9" max="9" width="18.140625" customWidth="1"/>
    <col min="10" max="10" width="20.28515625" customWidth="1"/>
    <col min="11" max="11" width="8.5703125" customWidth="1"/>
    <col min="12" max="12" width="11.28515625" hidden="1" customWidth="1"/>
    <col min="13" max="13" width="11.5703125" customWidth="1"/>
    <col min="14" max="14" width="25" customWidth="1"/>
    <col min="15" max="15" width="18.140625" customWidth="1"/>
    <col min="16" max="16" width="11.7109375" customWidth="1"/>
    <col min="17" max="17" width="13.85546875" bestFit="1" customWidth="1"/>
    <col min="18" max="18" width="19.140625" bestFit="1" customWidth="1"/>
    <col min="19" max="19" width="17.7109375" customWidth="1"/>
    <col min="20" max="20" width="29.140625" bestFit="1" customWidth="1"/>
    <col min="21" max="21" width="29.85546875" bestFit="1" customWidth="1"/>
    <col min="22" max="22" width="24.140625" bestFit="1" customWidth="1"/>
  </cols>
  <sheetData>
    <row r="4" spans="2:19" ht="21" x14ac:dyDescent="0.35">
      <c r="B4" s="138" t="s">
        <v>260</v>
      </c>
      <c r="C4" t="s">
        <v>604</v>
      </c>
      <c r="H4" s="181" t="s">
        <v>260</v>
      </c>
      <c r="I4" t="s">
        <v>604</v>
      </c>
      <c r="N4" s="251" t="str">
        <f>Commercial!E10</f>
        <v>PO. NO: 515540</v>
      </c>
      <c r="O4" s="251"/>
      <c r="P4" s="235"/>
      <c r="Q4" s="235"/>
      <c r="R4" s="251" t="str">
        <f>Commercial!E20</f>
        <v>PO. NO: 517613</v>
      </c>
      <c r="S4" s="251"/>
    </row>
    <row r="6" spans="2:19" x14ac:dyDescent="0.25">
      <c r="B6" s="138" t="s">
        <v>150</v>
      </c>
      <c r="H6" s="138" t="s">
        <v>360</v>
      </c>
      <c r="I6" s="138" t="s">
        <v>262</v>
      </c>
    </row>
    <row r="7" spans="2:19" x14ac:dyDescent="0.25">
      <c r="C7" t="s">
        <v>4</v>
      </c>
      <c r="D7" t="s">
        <v>8</v>
      </c>
      <c r="E7" t="s">
        <v>383</v>
      </c>
      <c r="F7" t="s">
        <v>149</v>
      </c>
      <c r="H7" s="138" t="s">
        <v>354</v>
      </c>
      <c r="I7" s="111" t="s">
        <v>358</v>
      </c>
      <c r="J7" s="111" t="s">
        <v>357</v>
      </c>
      <c r="K7" s="111" t="s">
        <v>359</v>
      </c>
      <c r="L7" s="111" t="s">
        <v>149</v>
      </c>
    </row>
    <row r="8" spans="2:19" x14ac:dyDescent="0.25">
      <c r="B8" s="139" t="s">
        <v>384</v>
      </c>
      <c r="C8" s="182"/>
      <c r="D8" s="182">
        <v>1</v>
      </c>
      <c r="E8" s="182"/>
      <c r="F8" s="182">
        <v>1</v>
      </c>
      <c r="G8" s="182"/>
      <c r="H8" s="139" t="s">
        <v>259</v>
      </c>
      <c r="I8" s="182"/>
      <c r="J8" s="182">
        <v>2</v>
      </c>
      <c r="K8" s="182">
        <v>2</v>
      </c>
      <c r="L8" s="140">
        <v>4</v>
      </c>
    </row>
    <row r="9" spans="2:19" x14ac:dyDescent="0.25">
      <c r="B9" s="139" t="s">
        <v>601</v>
      </c>
      <c r="C9" s="182"/>
      <c r="D9" s="182">
        <v>1</v>
      </c>
      <c r="E9" s="182"/>
      <c r="F9" s="182">
        <v>1</v>
      </c>
      <c r="G9" s="182"/>
      <c r="H9" s="141" t="s">
        <v>215</v>
      </c>
      <c r="I9" s="182"/>
      <c r="J9" s="182"/>
      <c r="K9" s="182"/>
      <c r="L9" s="140"/>
    </row>
    <row r="10" spans="2:19" x14ac:dyDescent="0.25">
      <c r="B10" s="139" t="s">
        <v>380</v>
      </c>
      <c r="C10" s="182"/>
      <c r="D10" s="182"/>
      <c r="E10" s="182">
        <v>1</v>
      </c>
      <c r="F10" s="182">
        <v>1</v>
      </c>
      <c r="G10" s="182"/>
      <c r="H10" s="142" t="s">
        <v>214</v>
      </c>
      <c r="I10" s="182"/>
      <c r="J10" s="182">
        <v>1</v>
      </c>
      <c r="K10" s="182"/>
      <c r="L10" s="140">
        <v>1</v>
      </c>
    </row>
    <row r="11" spans="2:19" x14ac:dyDescent="0.25">
      <c r="B11" s="139" t="s">
        <v>598</v>
      </c>
      <c r="C11" s="182"/>
      <c r="D11" s="182">
        <v>1</v>
      </c>
      <c r="E11" s="182"/>
      <c r="F11" s="182">
        <v>1</v>
      </c>
      <c r="G11" s="182"/>
      <c r="H11" s="142" t="s">
        <v>379</v>
      </c>
      <c r="I11" s="182"/>
      <c r="J11" s="182"/>
      <c r="K11" s="182">
        <v>1</v>
      </c>
      <c r="L11" s="140">
        <v>1</v>
      </c>
    </row>
    <row r="12" spans="2:19" x14ac:dyDescent="0.25">
      <c r="B12" s="139" t="s">
        <v>602</v>
      </c>
      <c r="C12" s="182"/>
      <c r="D12" s="182">
        <v>1</v>
      </c>
      <c r="E12" s="182"/>
      <c r="F12" s="182">
        <v>1</v>
      </c>
      <c r="G12" s="182"/>
      <c r="H12" s="142" t="s">
        <v>381</v>
      </c>
      <c r="I12" s="182"/>
      <c r="J12" s="182">
        <v>1</v>
      </c>
      <c r="K12" s="182"/>
      <c r="L12" s="140">
        <v>1</v>
      </c>
    </row>
    <row r="13" spans="2:19" x14ac:dyDescent="0.25">
      <c r="B13" s="139" t="s">
        <v>249</v>
      </c>
      <c r="C13" s="182">
        <v>1</v>
      </c>
      <c r="D13" s="182"/>
      <c r="E13" s="182"/>
      <c r="F13" s="182">
        <v>1</v>
      </c>
      <c r="G13" s="182"/>
      <c r="H13" s="142" t="s">
        <v>565</v>
      </c>
      <c r="I13" s="182"/>
      <c r="J13" s="182"/>
      <c r="K13" s="182">
        <v>1</v>
      </c>
      <c r="L13" s="140">
        <v>1</v>
      </c>
    </row>
    <row r="14" spans="2:19" x14ac:dyDescent="0.25">
      <c r="B14" s="139" t="s">
        <v>373</v>
      </c>
      <c r="C14" s="182">
        <v>1</v>
      </c>
      <c r="D14" s="182"/>
      <c r="E14" s="182"/>
      <c r="F14" s="182">
        <v>1</v>
      </c>
      <c r="G14" s="182"/>
      <c r="H14" s="139" t="s">
        <v>265</v>
      </c>
      <c r="I14" s="182"/>
      <c r="J14" s="182">
        <v>1</v>
      </c>
      <c r="K14" s="182">
        <v>1</v>
      </c>
      <c r="L14" s="140">
        <v>2</v>
      </c>
    </row>
    <row r="15" spans="2:19" x14ac:dyDescent="0.25">
      <c r="B15" s="139" t="s">
        <v>572</v>
      </c>
      <c r="C15" s="182"/>
      <c r="D15" s="182">
        <v>1</v>
      </c>
      <c r="E15" s="182"/>
      <c r="F15" s="182">
        <v>1</v>
      </c>
      <c r="G15" s="182"/>
      <c r="H15" s="141" t="s">
        <v>267</v>
      </c>
      <c r="I15" s="182"/>
      <c r="J15" s="182"/>
      <c r="K15" s="182"/>
      <c r="L15" s="140"/>
    </row>
    <row r="16" spans="2:19" x14ac:dyDescent="0.25">
      <c r="B16" s="139" t="s">
        <v>554</v>
      </c>
      <c r="C16" s="182">
        <v>1</v>
      </c>
      <c r="D16" s="182"/>
      <c r="E16" s="182"/>
      <c r="F16" s="182">
        <v>1</v>
      </c>
      <c r="G16" s="182"/>
      <c r="H16" s="142" t="s">
        <v>361</v>
      </c>
      <c r="I16" s="182"/>
      <c r="J16" s="182">
        <v>1</v>
      </c>
      <c r="K16" s="182">
        <v>1</v>
      </c>
      <c r="L16" s="140">
        <v>2</v>
      </c>
    </row>
    <row r="17" spans="2:16" x14ac:dyDescent="0.25">
      <c r="B17" s="139" t="s">
        <v>355</v>
      </c>
      <c r="C17" s="182">
        <v>1</v>
      </c>
      <c r="D17" s="182"/>
      <c r="E17" s="182"/>
      <c r="F17" s="182">
        <v>1</v>
      </c>
      <c r="H17" s="139" t="s">
        <v>268</v>
      </c>
      <c r="I17" s="182">
        <v>3</v>
      </c>
      <c r="J17" s="182">
        <v>1</v>
      </c>
      <c r="K17" s="182">
        <v>2</v>
      </c>
      <c r="L17" s="140">
        <v>6</v>
      </c>
    </row>
    <row r="18" spans="2:16" x14ac:dyDescent="0.25">
      <c r="B18" s="139" t="s">
        <v>564</v>
      </c>
      <c r="C18" s="182"/>
      <c r="D18" s="182">
        <v>1</v>
      </c>
      <c r="E18" s="182"/>
      <c r="F18" s="182">
        <v>1</v>
      </c>
      <c r="H18" s="141" t="s">
        <v>193</v>
      </c>
      <c r="I18" s="182"/>
      <c r="J18" s="182"/>
      <c r="K18" s="182"/>
      <c r="L18" s="140"/>
    </row>
    <row r="19" spans="2:16" x14ac:dyDescent="0.25">
      <c r="B19" s="139" t="s">
        <v>269</v>
      </c>
      <c r="C19" s="182">
        <v>1</v>
      </c>
      <c r="D19" s="182"/>
      <c r="E19" s="182"/>
      <c r="F19" s="182">
        <v>1</v>
      </c>
      <c r="H19" s="142" t="s">
        <v>363</v>
      </c>
      <c r="I19" s="182"/>
      <c r="J19" s="182">
        <v>1</v>
      </c>
      <c r="K19" s="182"/>
      <c r="L19" s="140">
        <v>1</v>
      </c>
    </row>
    <row r="20" spans="2:16" x14ac:dyDescent="0.25">
      <c r="B20" s="139" t="s">
        <v>599</v>
      </c>
      <c r="C20" s="182"/>
      <c r="D20" s="182">
        <v>1</v>
      </c>
      <c r="E20" s="182"/>
      <c r="F20" s="182">
        <v>1</v>
      </c>
      <c r="H20" s="142" t="s">
        <v>386</v>
      </c>
      <c r="I20" s="182">
        <v>1</v>
      </c>
      <c r="J20" s="182"/>
      <c r="K20" s="182"/>
      <c r="L20" s="140">
        <v>1</v>
      </c>
    </row>
    <row r="21" spans="2:16" x14ac:dyDescent="0.25">
      <c r="B21" s="139" t="s">
        <v>379</v>
      </c>
      <c r="C21" s="182"/>
      <c r="D21" s="182">
        <v>1</v>
      </c>
      <c r="E21" s="182"/>
      <c r="F21" s="182">
        <v>1</v>
      </c>
      <c r="H21" s="142" t="s">
        <v>394</v>
      </c>
      <c r="I21" s="182">
        <v>2</v>
      </c>
      <c r="J21" s="182"/>
      <c r="K21" s="182">
        <v>2</v>
      </c>
      <c r="L21" s="140">
        <v>4</v>
      </c>
      <c r="N21" s="181" t="s">
        <v>349</v>
      </c>
      <c r="O21" t="s">
        <v>604</v>
      </c>
    </row>
    <row r="22" spans="2:16" x14ac:dyDescent="0.25">
      <c r="B22" s="139" t="s">
        <v>149</v>
      </c>
      <c r="C22" s="182">
        <v>5</v>
      </c>
      <c r="D22" s="182">
        <v>8</v>
      </c>
      <c r="E22" s="182">
        <v>1</v>
      </c>
      <c r="F22" s="182">
        <v>14</v>
      </c>
      <c r="H22" s="139" t="s">
        <v>362</v>
      </c>
      <c r="I22" s="182"/>
      <c r="J22" s="182"/>
      <c r="K22" s="182">
        <v>3</v>
      </c>
      <c r="L22" s="140">
        <v>3</v>
      </c>
    </row>
    <row r="23" spans="2:16" x14ac:dyDescent="0.25">
      <c r="H23" s="141" t="s">
        <v>215</v>
      </c>
      <c r="I23" s="182"/>
      <c r="J23" s="182"/>
      <c r="K23" s="182"/>
      <c r="L23" s="140"/>
      <c r="N23" s="138" t="s">
        <v>352</v>
      </c>
      <c r="O23" t="s">
        <v>351</v>
      </c>
      <c r="P23" t="s">
        <v>350</v>
      </c>
    </row>
    <row r="24" spans="2:16" x14ac:dyDescent="0.25">
      <c r="H24" s="142" t="s">
        <v>372</v>
      </c>
      <c r="I24" s="182"/>
      <c r="J24" s="182"/>
      <c r="K24" s="182">
        <v>1</v>
      </c>
      <c r="L24" s="140">
        <v>1</v>
      </c>
      <c r="N24" s="139" t="s">
        <v>20</v>
      </c>
      <c r="O24" s="180">
        <v>12</v>
      </c>
      <c r="P24" s="180">
        <v>70</v>
      </c>
    </row>
    <row r="25" spans="2:16" x14ac:dyDescent="0.25">
      <c r="H25" s="141" t="s">
        <v>601</v>
      </c>
      <c r="I25" s="182"/>
      <c r="J25" s="182"/>
      <c r="K25" s="182"/>
      <c r="L25" s="140"/>
      <c r="N25" s="139" t="s">
        <v>29</v>
      </c>
      <c r="O25" s="180">
        <v>0</v>
      </c>
      <c r="P25" s="180">
        <v>135</v>
      </c>
    </row>
    <row r="26" spans="2:16" x14ac:dyDescent="0.25">
      <c r="H26" s="142" t="s">
        <v>601</v>
      </c>
      <c r="I26" s="182"/>
      <c r="J26" s="182"/>
      <c r="K26" s="182">
        <v>1</v>
      </c>
      <c r="L26" s="140">
        <v>1</v>
      </c>
      <c r="N26" s="139" t="s">
        <v>573</v>
      </c>
      <c r="O26" s="180">
        <v>0</v>
      </c>
      <c r="P26" s="180">
        <v>40</v>
      </c>
    </row>
    <row r="27" spans="2:16" x14ac:dyDescent="0.25">
      <c r="H27" s="141" t="s">
        <v>605</v>
      </c>
      <c r="I27" s="182"/>
      <c r="J27" s="182"/>
      <c r="K27" s="182"/>
      <c r="L27" s="140"/>
      <c r="N27" s="139" t="s">
        <v>149</v>
      </c>
      <c r="O27" s="180">
        <v>12</v>
      </c>
      <c r="P27" s="180">
        <v>245</v>
      </c>
    </row>
    <row r="28" spans="2:16" x14ac:dyDescent="0.25">
      <c r="H28" s="142" t="s">
        <v>603</v>
      </c>
      <c r="I28" s="182"/>
      <c r="J28" s="182"/>
      <c r="K28" s="182">
        <v>1</v>
      </c>
      <c r="L28" s="140">
        <v>1</v>
      </c>
    </row>
    <row r="29" spans="2:16" x14ac:dyDescent="0.25">
      <c r="H29" s="139" t="s">
        <v>149</v>
      </c>
      <c r="I29" s="182">
        <v>3</v>
      </c>
      <c r="J29" s="182">
        <v>4</v>
      </c>
      <c r="K29" s="182">
        <v>8</v>
      </c>
      <c r="L29" s="140">
        <v>15</v>
      </c>
    </row>
  </sheetData>
  <mergeCells count="2">
    <mergeCell ref="N4:O4"/>
    <mergeCell ref="R4:S4"/>
  </mergeCells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BE20"/>
  <sheetViews>
    <sheetView showGridLines="0" workbookViewId="0">
      <pane xSplit="6" topLeftCell="BA1" activePane="topRight" state="frozen"/>
      <selection pane="topRight" activeCell="BC14" sqref="BC14"/>
    </sheetView>
  </sheetViews>
  <sheetFormatPr defaultColWidth="26.28515625" defaultRowHeight="15" x14ac:dyDescent="0.25"/>
  <cols>
    <col min="1" max="1" width="4.5703125" customWidth="1"/>
    <col min="2" max="2" width="36.42578125" customWidth="1"/>
    <col min="3" max="3" width="13.42578125" bestFit="1" customWidth="1"/>
    <col min="4" max="4" width="14.5703125" bestFit="1" customWidth="1"/>
    <col min="5" max="5" width="13.42578125" customWidth="1"/>
    <col min="6" max="6" width="26.7109375" customWidth="1"/>
    <col min="7" max="7" width="13.85546875" customWidth="1"/>
    <col min="8" max="8" width="10.85546875" bestFit="1" customWidth="1"/>
    <col min="9" max="9" width="18.5703125" bestFit="1" customWidth="1"/>
    <col min="10" max="10" width="18.5703125" customWidth="1"/>
    <col min="11" max="11" width="14.42578125" customWidth="1"/>
    <col min="12" max="12" width="21.85546875" bestFit="1" customWidth="1"/>
    <col min="13" max="13" width="12" bestFit="1" customWidth="1"/>
    <col min="14" max="14" width="14.28515625" bestFit="1" customWidth="1"/>
    <col min="15" max="15" width="13.140625" bestFit="1" customWidth="1"/>
    <col min="16" max="16" width="11.28515625" bestFit="1" customWidth="1"/>
    <col min="17" max="17" width="40.5703125" bestFit="1" customWidth="1"/>
    <col min="18" max="18" width="14.42578125" bestFit="1" customWidth="1"/>
    <col min="19" max="19" width="10.85546875" customWidth="1"/>
    <col min="20" max="20" width="15.28515625" customWidth="1"/>
    <col min="21" max="21" width="8.42578125" bestFit="1" customWidth="1"/>
    <col min="22" max="24" width="7.85546875" customWidth="1"/>
    <col min="25" max="25" width="9.28515625" customWidth="1"/>
    <col min="26" max="30" width="7.85546875" customWidth="1"/>
    <col min="31" max="31" width="9.85546875" customWidth="1"/>
    <col min="32" max="36" width="7.85546875" customWidth="1"/>
    <col min="37" max="37" width="8.85546875" customWidth="1"/>
    <col min="38" max="43" width="7.85546875" customWidth="1"/>
    <col min="44" max="44" width="9.85546875" customWidth="1"/>
    <col min="45" max="46" width="7.85546875" customWidth="1"/>
    <col min="47" max="47" width="8.42578125" customWidth="1"/>
    <col min="48" max="48" width="14" customWidth="1"/>
    <col min="49" max="49" width="14" bestFit="1" customWidth="1"/>
    <col min="50" max="50" width="14" customWidth="1"/>
    <col min="51" max="51" width="13.140625" customWidth="1"/>
    <col min="52" max="52" width="10.7109375" bestFit="1" customWidth="1"/>
    <col min="53" max="53" width="11.28515625" bestFit="1" customWidth="1"/>
    <col min="54" max="54" width="10.5703125" bestFit="1" customWidth="1"/>
    <col min="55" max="55" width="12.28515625" bestFit="1" customWidth="1"/>
    <col min="56" max="56" width="14.7109375" customWidth="1"/>
    <col min="57" max="57" width="38.7109375" customWidth="1"/>
  </cols>
  <sheetData>
    <row r="1" spans="1:57" x14ac:dyDescent="0.25">
      <c r="A1" s="5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</row>
    <row r="2" spans="1:57" ht="15.75" customHeight="1" x14ac:dyDescent="0.25">
      <c r="A2" s="54"/>
      <c r="B2" s="254" t="s">
        <v>353</v>
      </c>
      <c r="C2" s="254" t="s">
        <v>120</v>
      </c>
      <c r="D2" s="254" t="s">
        <v>258</v>
      </c>
      <c r="E2" s="254" t="s">
        <v>260</v>
      </c>
      <c r="F2" s="252" t="s">
        <v>356</v>
      </c>
      <c r="G2" s="254" t="s">
        <v>184</v>
      </c>
      <c r="H2" s="252" t="s">
        <v>230</v>
      </c>
      <c r="I2" s="254" t="s">
        <v>211</v>
      </c>
      <c r="J2" s="252" t="s">
        <v>216</v>
      </c>
      <c r="K2" s="254" t="s">
        <v>254</v>
      </c>
      <c r="L2" s="254" t="s">
        <v>255</v>
      </c>
      <c r="M2" s="254" t="s">
        <v>1</v>
      </c>
      <c r="N2" s="254" t="s">
        <v>197</v>
      </c>
      <c r="O2" s="254" t="s">
        <v>38</v>
      </c>
      <c r="P2" s="254" t="s">
        <v>40</v>
      </c>
      <c r="Q2" s="254" t="s">
        <v>48</v>
      </c>
      <c r="R2" s="254" t="s">
        <v>192</v>
      </c>
      <c r="S2" s="254" t="s">
        <v>157</v>
      </c>
      <c r="T2" s="254"/>
      <c r="U2" s="254"/>
      <c r="V2" s="254" t="s">
        <v>144</v>
      </c>
      <c r="W2" s="254"/>
      <c r="X2" s="254"/>
      <c r="Y2" s="254"/>
      <c r="Z2" s="254"/>
      <c r="AA2" s="254"/>
      <c r="AB2" s="254" t="s">
        <v>43</v>
      </c>
      <c r="AC2" s="254"/>
      <c r="AD2" s="254"/>
      <c r="AE2" s="254"/>
      <c r="AF2" s="254"/>
      <c r="AG2" s="254"/>
      <c r="AH2" s="254" t="s">
        <v>252</v>
      </c>
      <c r="AI2" s="254"/>
      <c r="AJ2" s="254"/>
      <c r="AK2" s="254"/>
      <c r="AL2" s="254"/>
      <c r="AM2" s="254"/>
      <c r="AN2" s="254"/>
      <c r="AO2" s="254" t="s">
        <v>253</v>
      </c>
      <c r="AP2" s="254"/>
      <c r="AQ2" s="254"/>
      <c r="AR2" s="254"/>
      <c r="AS2" s="254"/>
      <c r="AT2" s="254"/>
      <c r="AU2" s="254"/>
      <c r="AV2" s="252" t="s">
        <v>424</v>
      </c>
      <c r="AW2" s="252" t="s">
        <v>250</v>
      </c>
      <c r="AX2" s="252" t="s">
        <v>422</v>
      </c>
      <c r="AY2" s="254" t="s">
        <v>145</v>
      </c>
      <c r="AZ2" s="254"/>
      <c r="BA2" s="254" t="s">
        <v>146</v>
      </c>
      <c r="BB2" s="254"/>
      <c r="BC2" s="254" t="s">
        <v>39</v>
      </c>
      <c r="BD2" s="254" t="s">
        <v>251</v>
      </c>
      <c r="BE2" s="254" t="s">
        <v>50</v>
      </c>
    </row>
    <row r="3" spans="1:57" ht="15.75" x14ac:dyDescent="0.25">
      <c r="A3" s="54"/>
      <c r="B3" s="254"/>
      <c r="C3" s="254"/>
      <c r="D3" s="254"/>
      <c r="E3" s="254"/>
      <c r="F3" s="253"/>
      <c r="G3" s="254"/>
      <c r="H3" s="253"/>
      <c r="I3" s="254"/>
      <c r="J3" s="253"/>
      <c r="K3" s="254"/>
      <c r="L3" s="254"/>
      <c r="M3" s="254"/>
      <c r="N3" s="254"/>
      <c r="O3" s="254"/>
      <c r="P3" s="254"/>
      <c r="Q3" s="254"/>
      <c r="R3" s="254"/>
      <c r="S3" s="171" t="s">
        <v>189</v>
      </c>
      <c r="T3" s="171" t="s">
        <v>190</v>
      </c>
      <c r="U3" s="171" t="s">
        <v>51</v>
      </c>
      <c r="V3" s="171" t="s">
        <v>142</v>
      </c>
      <c r="W3" s="171" t="s">
        <v>122</v>
      </c>
      <c r="X3" s="171" t="s">
        <v>124</v>
      </c>
      <c r="Y3" s="171" t="s">
        <v>143</v>
      </c>
      <c r="Z3" s="171" t="s">
        <v>123</v>
      </c>
      <c r="AA3" s="171" t="s">
        <v>125</v>
      </c>
      <c r="AB3" s="171" t="s">
        <v>142</v>
      </c>
      <c r="AC3" s="171" t="s">
        <v>122</v>
      </c>
      <c r="AD3" s="171" t="s">
        <v>124</v>
      </c>
      <c r="AE3" s="171" t="s">
        <v>143</v>
      </c>
      <c r="AF3" s="171" t="s">
        <v>123</v>
      </c>
      <c r="AG3" s="171" t="s">
        <v>125</v>
      </c>
      <c r="AH3" s="171" t="s">
        <v>142</v>
      </c>
      <c r="AI3" s="171" t="s">
        <v>122</v>
      </c>
      <c r="AJ3" s="171" t="s">
        <v>124</v>
      </c>
      <c r="AK3" s="171" t="s">
        <v>143</v>
      </c>
      <c r="AL3" s="171" t="s">
        <v>123</v>
      </c>
      <c r="AM3" s="171" t="s">
        <v>125</v>
      </c>
      <c r="AN3" s="171" t="s">
        <v>51</v>
      </c>
      <c r="AO3" s="171" t="s">
        <v>142</v>
      </c>
      <c r="AP3" s="171" t="s">
        <v>122</v>
      </c>
      <c r="AQ3" s="171" t="s">
        <v>124</v>
      </c>
      <c r="AR3" s="171" t="s">
        <v>143</v>
      </c>
      <c r="AS3" s="171" t="s">
        <v>123</v>
      </c>
      <c r="AT3" s="171" t="s">
        <v>125</v>
      </c>
      <c r="AU3" s="171" t="s">
        <v>51</v>
      </c>
      <c r="AV3" s="255"/>
      <c r="AW3" s="253"/>
      <c r="AX3" s="253"/>
      <c r="AY3" s="172" t="s">
        <v>147</v>
      </c>
      <c r="AZ3" s="172" t="s">
        <v>148</v>
      </c>
      <c r="BA3" s="172" t="s">
        <v>147</v>
      </c>
      <c r="BB3" s="172" t="s">
        <v>148</v>
      </c>
      <c r="BC3" s="254"/>
      <c r="BD3" s="254"/>
      <c r="BE3" s="254"/>
    </row>
    <row r="4" spans="1:57" s="55" customFormat="1" x14ac:dyDescent="0.2">
      <c r="A4" s="54"/>
      <c r="B4" s="81" t="s">
        <v>598</v>
      </c>
      <c r="C4" s="81" t="s">
        <v>112</v>
      </c>
      <c r="D4" s="81" t="s">
        <v>259</v>
      </c>
      <c r="E4" s="85">
        <v>2020</v>
      </c>
      <c r="F4" s="83" t="s">
        <v>357</v>
      </c>
      <c r="G4" s="82" t="s">
        <v>187</v>
      </c>
      <c r="H4" s="82">
        <v>2054</v>
      </c>
      <c r="I4" s="134" t="s">
        <v>212</v>
      </c>
      <c r="J4" s="82">
        <v>515540</v>
      </c>
      <c r="K4" s="82" t="s">
        <v>256</v>
      </c>
      <c r="L4" s="82" t="s">
        <v>196</v>
      </c>
      <c r="M4" s="82" t="s">
        <v>8</v>
      </c>
      <c r="N4" s="85" t="s">
        <v>263</v>
      </c>
      <c r="O4" s="82" t="s">
        <v>191</v>
      </c>
      <c r="P4" s="190"/>
      <c r="Q4" s="81" t="s">
        <v>214</v>
      </c>
      <c r="R4" s="81" t="s">
        <v>215</v>
      </c>
      <c r="S4" s="85">
        <v>3</v>
      </c>
      <c r="T4" s="85">
        <v>0</v>
      </c>
      <c r="U4" s="82">
        <f>S4+T4</f>
        <v>3</v>
      </c>
      <c r="V4" s="86">
        <v>0</v>
      </c>
      <c r="W4" s="86">
        <v>0</v>
      </c>
      <c r="X4" s="86">
        <v>1</v>
      </c>
      <c r="Y4" s="86">
        <v>0</v>
      </c>
      <c r="Z4" s="86">
        <v>0</v>
      </c>
      <c r="AA4" s="86">
        <v>0</v>
      </c>
      <c r="AB4" s="87">
        <v>0</v>
      </c>
      <c r="AC4" s="87">
        <v>0</v>
      </c>
      <c r="AD4" s="87">
        <v>0</v>
      </c>
      <c r="AE4" s="87">
        <v>0</v>
      </c>
      <c r="AF4" s="87">
        <v>0</v>
      </c>
      <c r="AG4" s="87">
        <v>1</v>
      </c>
      <c r="AH4" s="86">
        <v>0</v>
      </c>
      <c r="AI4" s="86">
        <v>0</v>
      </c>
      <c r="AJ4" s="86">
        <v>10</v>
      </c>
      <c r="AK4" s="86">
        <v>0</v>
      </c>
      <c r="AL4" s="86">
        <v>10</v>
      </c>
      <c r="AM4" s="86">
        <v>0</v>
      </c>
      <c r="AN4" s="88">
        <f t="shared" ref="AN4:AN19" si="0">SUM(AH4:AM4)</f>
        <v>20</v>
      </c>
      <c r="AO4" s="87">
        <v>0</v>
      </c>
      <c r="AP4" s="87">
        <v>0</v>
      </c>
      <c r="AQ4" s="87">
        <v>12</v>
      </c>
      <c r="AR4" s="87">
        <v>0</v>
      </c>
      <c r="AS4" s="87">
        <v>0</v>
      </c>
      <c r="AT4" s="87">
        <v>129</v>
      </c>
      <c r="AU4" s="88">
        <f t="shared" ref="AU4:AU19" si="1">SUM(AO4:AT4)</f>
        <v>141</v>
      </c>
      <c r="AV4" s="88" t="str">
        <f t="shared" ref="AV4:AV19" si="2">IF(AW4&lt;=0,"No","Yes")</f>
        <v>Yes</v>
      </c>
      <c r="AW4" s="132">
        <f t="shared" ref="AW4:AW19" si="3">AU4-AN4</f>
        <v>121</v>
      </c>
      <c r="AX4" s="209">
        <f t="shared" ref="AX4:AX19" si="4">(AW4/AN4)</f>
        <v>6.05</v>
      </c>
      <c r="AY4" s="89">
        <v>43892</v>
      </c>
      <c r="AZ4" s="89">
        <v>44321</v>
      </c>
      <c r="BA4" s="89">
        <v>43894</v>
      </c>
      <c r="BB4" s="89" t="s">
        <v>7</v>
      </c>
      <c r="BC4" s="90" t="s">
        <v>158</v>
      </c>
      <c r="BD4" s="58" t="s">
        <v>22</v>
      </c>
      <c r="BE4" s="83"/>
    </row>
    <row r="5" spans="1:57" s="55" customFormat="1" x14ac:dyDescent="0.2">
      <c r="A5" s="54"/>
      <c r="B5" s="81" t="s">
        <v>572</v>
      </c>
      <c r="C5" s="81" t="s">
        <v>112</v>
      </c>
      <c r="D5" s="81" t="s">
        <v>268</v>
      </c>
      <c r="E5" s="85">
        <v>2020</v>
      </c>
      <c r="F5" s="83" t="s">
        <v>359</v>
      </c>
      <c r="G5" s="82" t="s">
        <v>187</v>
      </c>
      <c r="H5" s="82">
        <v>2054</v>
      </c>
      <c r="I5" s="134" t="s">
        <v>212</v>
      </c>
      <c r="J5" s="82">
        <v>515540</v>
      </c>
      <c r="K5" s="82" t="s">
        <v>256</v>
      </c>
      <c r="L5" s="82" t="s">
        <v>279</v>
      </c>
      <c r="M5" s="82" t="s">
        <v>8</v>
      </c>
      <c r="N5" s="85" t="s">
        <v>263</v>
      </c>
      <c r="O5" s="82" t="s">
        <v>191</v>
      </c>
      <c r="P5" s="190"/>
      <c r="Q5" s="81" t="s">
        <v>394</v>
      </c>
      <c r="R5" s="81" t="s">
        <v>193</v>
      </c>
      <c r="S5" s="85">
        <v>19</v>
      </c>
      <c r="T5" s="85">
        <v>0</v>
      </c>
      <c r="U5" s="82">
        <f>S5+T5</f>
        <v>19</v>
      </c>
      <c r="V5" s="86">
        <v>0</v>
      </c>
      <c r="W5" s="86">
        <v>0</v>
      </c>
      <c r="X5" s="86">
        <v>1</v>
      </c>
      <c r="Y5" s="86">
        <v>0</v>
      </c>
      <c r="Z5" s="86">
        <v>0</v>
      </c>
      <c r="AA5" s="86">
        <v>0</v>
      </c>
      <c r="AB5" s="87">
        <v>0</v>
      </c>
      <c r="AC5" s="87">
        <v>0</v>
      </c>
      <c r="AD5" s="87">
        <v>0</v>
      </c>
      <c r="AE5" s="87">
        <v>0</v>
      </c>
      <c r="AF5" s="87">
        <v>0</v>
      </c>
      <c r="AG5" s="87">
        <v>1</v>
      </c>
      <c r="AH5" s="86">
        <v>0</v>
      </c>
      <c r="AI5" s="86">
        <v>0</v>
      </c>
      <c r="AJ5" s="86">
        <v>4</v>
      </c>
      <c r="AK5" s="86">
        <v>0</v>
      </c>
      <c r="AL5" s="86">
        <v>0</v>
      </c>
      <c r="AM5" s="86">
        <v>0</v>
      </c>
      <c r="AN5" s="88">
        <f t="shared" ref="AN5" si="5">SUM(AH5:AM5)</f>
        <v>4</v>
      </c>
      <c r="AO5" s="87">
        <v>0</v>
      </c>
      <c r="AP5" s="87">
        <v>0</v>
      </c>
      <c r="AQ5" s="87">
        <v>0</v>
      </c>
      <c r="AR5" s="87">
        <v>0</v>
      </c>
      <c r="AS5" s="87">
        <v>0</v>
      </c>
      <c r="AT5" s="87">
        <v>25</v>
      </c>
      <c r="AU5" s="88">
        <f t="shared" ref="AU5" si="6">SUM(AO5:AT5)</f>
        <v>25</v>
      </c>
      <c r="AV5" s="88" t="str">
        <f t="shared" ref="AV5:AV19" si="7">IF(AW5&lt;=0,"No","Yes")</f>
        <v>Yes</v>
      </c>
      <c r="AW5" s="132">
        <f t="shared" ref="AW5" si="8">AU5-AN5</f>
        <v>21</v>
      </c>
      <c r="AX5" s="209">
        <f t="shared" ref="AX5" si="9">(AW5/AN5)</f>
        <v>5.25</v>
      </c>
      <c r="AY5" s="89">
        <v>44154</v>
      </c>
      <c r="AZ5" s="89">
        <v>44320</v>
      </c>
      <c r="BA5" s="89">
        <v>44154</v>
      </c>
      <c r="BB5" s="89"/>
      <c r="BC5" s="90" t="s">
        <v>158</v>
      </c>
      <c r="BD5" s="58" t="s">
        <v>22</v>
      </c>
      <c r="BE5" s="83"/>
    </row>
    <row r="6" spans="1:57" s="55" customFormat="1" x14ac:dyDescent="0.2">
      <c r="A6" s="54"/>
      <c r="B6" s="81" t="s">
        <v>379</v>
      </c>
      <c r="C6" s="81" t="s">
        <v>112</v>
      </c>
      <c r="D6" s="81" t="s">
        <v>259</v>
      </c>
      <c r="E6" s="85">
        <v>2020</v>
      </c>
      <c r="F6" s="83" t="s">
        <v>359</v>
      </c>
      <c r="G6" s="82" t="s">
        <v>187</v>
      </c>
      <c r="H6" s="82">
        <v>2054</v>
      </c>
      <c r="I6" s="134" t="s">
        <v>212</v>
      </c>
      <c r="J6" s="82">
        <v>515540</v>
      </c>
      <c r="K6" s="82" t="s">
        <v>256</v>
      </c>
      <c r="L6" s="82" t="s">
        <v>279</v>
      </c>
      <c r="M6" s="82" t="s">
        <v>8</v>
      </c>
      <c r="N6" s="85" t="s">
        <v>263</v>
      </c>
      <c r="O6" s="82" t="s">
        <v>385</v>
      </c>
      <c r="P6" s="234"/>
      <c r="Q6" s="81" t="s">
        <v>379</v>
      </c>
      <c r="R6" s="81" t="s">
        <v>215</v>
      </c>
      <c r="S6" s="85">
        <v>8</v>
      </c>
      <c r="T6" s="85">
        <v>0</v>
      </c>
      <c r="U6" s="82">
        <f>S6+T6</f>
        <v>8</v>
      </c>
      <c r="V6" s="86">
        <v>0</v>
      </c>
      <c r="W6" s="86">
        <v>0</v>
      </c>
      <c r="X6" s="86">
        <v>1</v>
      </c>
      <c r="Y6" s="86">
        <v>0</v>
      </c>
      <c r="Z6" s="86">
        <v>0</v>
      </c>
      <c r="AA6" s="86">
        <v>0</v>
      </c>
      <c r="AB6" s="87">
        <v>0</v>
      </c>
      <c r="AC6" s="87">
        <v>0</v>
      </c>
      <c r="AD6" s="87">
        <v>0</v>
      </c>
      <c r="AE6" s="87">
        <v>0</v>
      </c>
      <c r="AF6" s="87">
        <v>0</v>
      </c>
      <c r="AG6" s="87">
        <v>1</v>
      </c>
      <c r="AH6" s="86">
        <v>0</v>
      </c>
      <c r="AI6" s="86">
        <v>0</v>
      </c>
      <c r="AJ6" s="86">
        <v>22</v>
      </c>
      <c r="AK6" s="86">
        <v>0</v>
      </c>
      <c r="AL6" s="86">
        <v>0</v>
      </c>
      <c r="AM6" s="86">
        <v>0</v>
      </c>
      <c r="AN6" s="88">
        <f t="shared" si="0"/>
        <v>22</v>
      </c>
      <c r="AO6" s="87">
        <v>0</v>
      </c>
      <c r="AP6" s="87">
        <v>0</v>
      </c>
      <c r="AQ6" s="87">
        <v>0</v>
      </c>
      <c r="AR6" s="87">
        <v>0</v>
      </c>
      <c r="AS6" s="87">
        <v>0</v>
      </c>
      <c r="AT6" s="87">
        <v>27</v>
      </c>
      <c r="AU6" s="88">
        <f t="shared" si="1"/>
        <v>27</v>
      </c>
      <c r="AV6" s="88" t="str">
        <f t="shared" si="7"/>
        <v>Yes</v>
      </c>
      <c r="AW6" s="132">
        <f t="shared" si="3"/>
        <v>5</v>
      </c>
      <c r="AX6" s="209">
        <f t="shared" si="4"/>
        <v>0.22727272727272727</v>
      </c>
      <c r="AY6" s="89">
        <v>44073</v>
      </c>
      <c r="AZ6" s="89">
        <v>44337</v>
      </c>
      <c r="BA6" s="89">
        <v>44074</v>
      </c>
      <c r="BB6" s="89"/>
      <c r="BC6" s="90" t="s">
        <v>158</v>
      </c>
      <c r="BD6" s="58" t="s">
        <v>22</v>
      </c>
      <c r="BE6" s="83"/>
    </row>
    <row r="7" spans="1:57" s="55" customFormat="1" x14ac:dyDescent="0.2">
      <c r="A7" s="54"/>
      <c r="B7" s="81" t="s">
        <v>384</v>
      </c>
      <c r="C7" s="81" t="s">
        <v>112</v>
      </c>
      <c r="D7" s="81" t="s">
        <v>268</v>
      </c>
      <c r="E7" s="85">
        <v>2020</v>
      </c>
      <c r="F7" s="83" t="s">
        <v>358</v>
      </c>
      <c r="G7" s="82" t="s">
        <v>187</v>
      </c>
      <c r="H7" s="82">
        <v>2054</v>
      </c>
      <c r="I7" s="134" t="s">
        <v>212</v>
      </c>
      <c r="J7" s="82">
        <v>515540</v>
      </c>
      <c r="K7" s="82" t="s">
        <v>256</v>
      </c>
      <c r="L7" s="82" t="s">
        <v>279</v>
      </c>
      <c r="M7" s="82" t="s">
        <v>8</v>
      </c>
      <c r="N7" s="85" t="s">
        <v>263</v>
      </c>
      <c r="O7" s="82" t="s">
        <v>191</v>
      </c>
      <c r="P7" s="234"/>
      <c r="Q7" s="81" t="s">
        <v>386</v>
      </c>
      <c r="R7" s="81" t="s">
        <v>193</v>
      </c>
      <c r="S7" s="85">
        <v>4</v>
      </c>
      <c r="T7" s="85">
        <v>0</v>
      </c>
      <c r="U7" s="82">
        <f>SUM(S7:T7)</f>
        <v>4</v>
      </c>
      <c r="V7" s="86">
        <v>0</v>
      </c>
      <c r="W7" s="86">
        <v>0</v>
      </c>
      <c r="X7" s="86">
        <v>1</v>
      </c>
      <c r="Y7" s="86">
        <v>0</v>
      </c>
      <c r="Z7" s="86">
        <v>0</v>
      </c>
      <c r="AA7" s="86">
        <v>0</v>
      </c>
      <c r="AB7" s="87">
        <v>0</v>
      </c>
      <c r="AC7" s="87">
        <v>0</v>
      </c>
      <c r="AD7" s="87">
        <v>0</v>
      </c>
      <c r="AE7" s="87">
        <v>0</v>
      </c>
      <c r="AF7" s="87">
        <v>0</v>
      </c>
      <c r="AG7" s="87">
        <v>1</v>
      </c>
      <c r="AH7" s="86">
        <v>0</v>
      </c>
      <c r="AI7" s="86">
        <v>0</v>
      </c>
      <c r="AJ7" s="86">
        <v>17</v>
      </c>
      <c r="AK7" s="86">
        <v>0</v>
      </c>
      <c r="AL7" s="86">
        <v>0</v>
      </c>
      <c r="AM7" s="86">
        <v>0</v>
      </c>
      <c r="AN7" s="88">
        <f>SUM(AH7:AM7)</f>
        <v>17</v>
      </c>
      <c r="AO7" s="87">
        <v>0</v>
      </c>
      <c r="AP7" s="87">
        <v>0</v>
      </c>
      <c r="AQ7" s="87">
        <v>0</v>
      </c>
      <c r="AR7" s="87">
        <v>0</v>
      </c>
      <c r="AS7" s="87">
        <v>0</v>
      </c>
      <c r="AT7" s="87">
        <v>53</v>
      </c>
      <c r="AU7" s="88">
        <f t="shared" si="1"/>
        <v>53</v>
      </c>
      <c r="AV7" s="88" t="str">
        <f t="shared" si="7"/>
        <v>Yes</v>
      </c>
      <c r="AW7" s="132">
        <f t="shared" si="3"/>
        <v>36</v>
      </c>
      <c r="AX7" s="209">
        <f t="shared" si="4"/>
        <v>2.1176470588235294</v>
      </c>
      <c r="AY7" s="89">
        <v>44115</v>
      </c>
      <c r="AZ7" s="89" t="s">
        <v>64</v>
      </c>
      <c r="BA7" s="89">
        <v>44115</v>
      </c>
      <c r="BB7" s="89" t="s">
        <v>7</v>
      </c>
      <c r="BC7" s="90" t="s">
        <v>158</v>
      </c>
      <c r="BD7" s="58" t="s">
        <v>22</v>
      </c>
      <c r="BE7" s="83"/>
    </row>
    <row r="8" spans="1:57" s="55" customFormat="1" x14ac:dyDescent="0.2">
      <c r="A8" s="54"/>
      <c r="B8" s="81" t="s">
        <v>380</v>
      </c>
      <c r="C8" s="81" t="s">
        <v>112</v>
      </c>
      <c r="D8" s="81" t="s">
        <v>259</v>
      </c>
      <c r="E8" s="85">
        <v>2020</v>
      </c>
      <c r="F8" s="83" t="s">
        <v>357</v>
      </c>
      <c r="G8" s="82" t="s">
        <v>187</v>
      </c>
      <c r="H8" s="82">
        <v>2054</v>
      </c>
      <c r="I8" s="134" t="s">
        <v>212</v>
      </c>
      <c r="J8" s="82">
        <v>515540</v>
      </c>
      <c r="K8" s="82" t="s">
        <v>256</v>
      </c>
      <c r="L8" s="82" t="s">
        <v>279</v>
      </c>
      <c r="M8" s="82" t="s">
        <v>383</v>
      </c>
      <c r="N8" s="85" t="s">
        <v>263</v>
      </c>
      <c r="O8" s="82" t="s">
        <v>266</v>
      </c>
      <c r="P8" s="193"/>
      <c r="Q8" s="81" t="s">
        <v>381</v>
      </c>
      <c r="R8" s="81" t="s">
        <v>215</v>
      </c>
      <c r="S8" s="85">
        <v>3</v>
      </c>
      <c r="T8" s="85">
        <v>0</v>
      </c>
      <c r="U8" s="82">
        <f t="shared" ref="U8:U19" si="10">S8+T8</f>
        <v>3</v>
      </c>
      <c r="V8" s="86">
        <v>0</v>
      </c>
      <c r="W8" s="86">
        <v>0</v>
      </c>
      <c r="X8" s="86">
        <v>1</v>
      </c>
      <c r="Y8" s="86">
        <v>0</v>
      </c>
      <c r="Z8" s="86">
        <v>0</v>
      </c>
      <c r="AA8" s="86">
        <v>0</v>
      </c>
      <c r="AB8" s="87">
        <v>0</v>
      </c>
      <c r="AC8" s="87">
        <v>0</v>
      </c>
      <c r="AD8" s="87">
        <v>0</v>
      </c>
      <c r="AE8" s="87">
        <v>0</v>
      </c>
      <c r="AF8" s="87">
        <v>0</v>
      </c>
      <c r="AG8" s="87">
        <v>1</v>
      </c>
      <c r="AH8" s="86">
        <v>0</v>
      </c>
      <c r="AI8" s="86">
        <v>0</v>
      </c>
      <c r="AJ8" s="86">
        <v>30</v>
      </c>
      <c r="AK8" s="86">
        <v>0</v>
      </c>
      <c r="AL8" s="86">
        <v>0</v>
      </c>
      <c r="AM8" s="86">
        <v>0</v>
      </c>
      <c r="AN8" s="88">
        <f t="shared" si="0"/>
        <v>30</v>
      </c>
      <c r="AO8" s="87">
        <v>0</v>
      </c>
      <c r="AP8" s="87">
        <v>0</v>
      </c>
      <c r="AQ8" s="87">
        <v>0</v>
      </c>
      <c r="AR8" s="87">
        <v>0</v>
      </c>
      <c r="AS8" s="87">
        <v>0</v>
      </c>
      <c r="AT8" s="87">
        <v>2</v>
      </c>
      <c r="AU8" s="88">
        <f t="shared" si="1"/>
        <v>2</v>
      </c>
      <c r="AV8" s="88" t="str">
        <f t="shared" si="7"/>
        <v>No</v>
      </c>
      <c r="AW8" s="132">
        <f t="shared" si="3"/>
        <v>-28</v>
      </c>
      <c r="AX8" s="209">
        <f t="shared" si="4"/>
        <v>-0.93333333333333335</v>
      </c>
      <c r="AY8" s="89">
        <v>44073</v>
      </c>
      <c r="AZ8" s="89">
        <v>44346</v>
      </c>
      <c r="BA8" s="89">
        <v>44308</v>
      </c>
      <c r="BB8" s="89" t="s">
        <v>7</v>
      </c>
      <c r="BC8" s="90" t="s">
        <v>158</v>
      </c>
      <c r="BD8" s="58" t="s">
        <v>5</v>
      </c>
      <c r="BE8" s="83"/>
    </row>
    <row r="9" spans="1:57" s="55" customFormat="1" x14ac:dyDescent="0.2">
      <c r="A9" s="54"/>
      <c r="B9" s="81" t="s">
        <v>564</v>
      </c>
      <c r="C9" s="81" t="s">
        <v>112</v>
      </c>
      <c r="D9" s="81" t="s">
        <v>259</v>
      </c>
      <c r="E9" s="85">
        <v>2020</v>
      </c>
      <c r="F9" s="83" t="s">
        <v>359</v>
      </c>
      <c r="G9" s="82" t="s">
        <v>187</v>
      </c>
      <c r="H9" s="82">
        <v>2054</v>
      </c>
      <c r="I9" s="134" t="s">
        <v>212</v>
      </c>
      <c r="J9" s="82">
        <v>517613</v>
      </c>
      <c r="K9" s="82" t="s">
        <v>279</v>
      </c>
      <c r="L9" s="82" t="s">
        <v>279</v>
      </c>
      <c r="M9" s="82" t="s">
        <v>8</v>
      </c>
      <c r="N9" s="85" t="s">
        <v>263</v>
      </c>
      <c r="O9" s="82" t="s">
        <v>385</v>
      </c>
      <c r="P9" s="234"/>
      <c r="Q9" s="81" t="s">
        <v>565</v>
      </c>
      <c r="R9" s="81" t="s">
        <v>215</v>
      </c>
      <c r="S9" s="85">
        <v>60</v>
      </c>
      <c r="T9" s="85">
        <v>0</v>
      </c>
      <c r="U9" s="82">
        <f t="shared" si="10"/>
        <v>60</v>
      </c>
      <c r="V9" s="86">
        <v>0</v>
      </c>
      <c r="W9" s="86">
        <v>0</v>
      </c>
      <c r="X9" s="86">
        <v>2</v>
      </c>
      <c r="Y9" s="86">
        <v>0</v>
      </c>
      <c r="Z9" s="86">
        <v>0</v>
      </c>
      <c r="AA9" s="86">
        <v>0</v>
      </c>
      <c r="AB9" s="87">
        <v>0</v>
      </c>
      <c r="AC9" s="87">
        <v>0</v>
      </c>
      <c r="AD9" s="87">
        <v>0</v>
      </c>
      <c r="AE9" s="87">
        <v>0</v>
      </c>
      <c r="AF9" s="87">
        <v>0</v>
      </c>
      <c r="AG9" s="87">
        <v>2</v>
      </c>
      <c r="AH9" s="86">
        <v>0</v>
      </c>
      <c r="AI9" s="86">
        <v>0</v>
      </c>
      <c r="AJ9" s="86">
        <v>0</v>
      </c>
      <c r="AK9" s="86">
        <v>0</v>
      </c>
      <c r="AL9" s="86">
        <v>0</v>
      </c>
      <c r="AM9" s="86">
        <v>90</v>
      </c>
      <c r="AN9" s="88">
        <f t="shared" ref="AN9:AN14" si="11">SUM(AH9:AM9)</f>
        <v>90</v>
      </c>
      <c r="AO9" s="87">
        <v>0</v>
      </c>
      <c r="AP9" s="87">
        <v>0</v>
      </c>
      <c r="AQ9" s="87">
        <v>0</v>
      </c>
      <c r="AR9" s="87">
        <v>0</v>
      </c>
      <c r="AS9" s="87">
        <v>0</v>
      </c>
      <c r="AT9" s="87">
        <v>9</v>
      </c>
      <c r="AU9" s="88">
        <f t="shared" si="1"/>
        <v>9</v>
      </c>
      <c r="AV9" s="88" t="str">
        <f t="shared" si="7"/>
        <v>No</v>
      </c>
      <c r="AW9" s="132">
        <f t="shared" ref="AW9:AW10" si="12">AU9-AN9</f>
        <v>-81</v>
      </c>
      <c r="AX9" s="209">
        <f t="shared" ref="AX9:AX19" si="13">(AW9/AN9)</f>
        <v>-0.9</v>
      </c>
      <c r="AY9" s="89">
        <v>44154</v>
      </c>
      <c r="AZ9" s="89">
        <v>44231</v>
      </c>
      <c r="BA9" s="89" t="s">
        <v>567</v>
      </c>
      <c r="BB9" s="89" t="s">
        <v>7</v>
      </c>
      <c r="BC9" s="90" t="s">
        <v>158</v>
      </c>
      <c r="BD9" s="58" t="s">
        <v>22</v>
      </c>
      <c r="BE9" s="83"/>
    </row>
    <row r="10" spans="1:57" s="55" customFormat="1" x14ac:dyDescent="0.2">
      <c r="A10" s="54"/>
      <c r="B10" s="282" t="s">
        <v>599</v>
      </c>
      <c r="C10" s="81" t="s">
        <v>112</v>
      </c>
      <c r="D10" s="81" t="s">
        <v>265</v>
      </c>
      <c r="E10" s="85">
        <v>2021</v>
      </c>
      <c r="F10" s="83" t="s">
        <v>359</v>
      </c>
      <c r="G10" s="82" t="s">
        <v>187</v>
      </c>
      <c r="H10" s="82">
        <v>2054</v>
      </c>
      <c r="I10" s="134" t="s">
        <v>212</v>
      </c>
      <c r="J10" s="82">
        <v>515540</v>
      </c>
      <c r="K10" s="82" t="s">
        <v>256</v>
      </c>
      <c r="L10" s="82" t="s">
        <v>279</v>
      </c>
      <c r="M10" s="82" t="s">
        <v>8</v>
      </c>
      <c r="N10" s="85" t="s">
        <v>600</v>
      </c>
      <c r="O10" s="82" t="s">
        <v>191</v>
      </c>
      <c r="P10" s="234"/>
      <c r="Q10" s="81" t="s">
        <v>361</v>
      </c>
      <c r="R10" s="81" t="s">
        <v>267</v>
      </c>
      <c r="S10" s="85">
        <v>1</v>
      </c>
      <c r="T10" s="85">
        <v>0</v>
      </c>
      <c r="U10" s="82">
        <f t="shared" si="10"/>
        <v>1</v>
      </c>
      <c r="V10" s="86">
        <v>0</v>
      </c>
      <c r="W10" s="86">
        <v>0</v>
      </c>
      <c r="X10" s="86">
        <v>1</v>
      </c>
      <c r="Y10" s="86">
        <v>0</v>
      </c>
      <c r="Z10" s="86">
        <v>0</v>
      </c>
      <c r="AA10" s="86">
        <v>0</v>
      </c>
      <c r="AB10" s="87">
        <v>0</v>
      </c>
      <c r="AC10" s="87">
        <v>0</v>
      </c>
      <c r="AD10" s="87">
        <v>0</v>
      </c>
      <c r="AE10" s="87">
        <v>0</v>
      </c>
      <c r="AF10" s="87">
        <v>0</v>
      </c>
      <c r="AG10" s="87">
        <v>1</v>
      </c>
      <c r="AH10" s="86">
        <v>0</v>
      </c>
      <c r="AI10" s="86">
        <v>0</v>
      </c>
      <c r="AJ10" s="86">
        <v>0</v>
      </c>
      <c r="AK10" s="86">
        <v>0</v>
      </c>
      <c r="AL10" s="86">
        <v>0</v>
      </c>
      <c r="AM10" s="86">
        <v>0</v>
      </c>
      <c r="AN10" s="88">
        <f t="shared" si="11"/>
        <v>0</v>
      </c>
      <c r="AO10" s="87">
        <v>0</v>
      </c>
      <c r="AP10" s="87">
        <v>0</v>
      </c>
      <c r="AQ10" s="87">
        <v>0</v>
      </c>
      <c r="AR10" s="87">
        <v>0</v>
      </c>
      <c r="AS10" s="87">
        <v>0</v>
      </c>
      <c r="AT10" s="87">
        <v>66</v>
      </c>
      <c r="AU10" s="88">
        <f t="shared" si="1"/>
        <v>66</v>
      </c>
      <c r="AV10" s="88" t="str">
        <f t="shared" si="7"/>
        <v>Yes</v>
      </c>
      <c r="AW10" s="132">
        <f t="shared" si="12"/>
        <v>66</v>
      </c>
      <c r="AX10" s="209" t="e">
        <f t="shared" si="13"/>
        <v>#DIV/0!</v>
      </c>
      <c r="AY10" s="89">
        <v>44232</v>
      </c>
      <c r="AZ10" s="89">
        <v>44312</v>
      </c>
      <c r="BA10" s="89">
        <v>44214</v>
      </c>
      <c r="BB10" s="89" t="s">
        <v>7</v>
      </c>
      <c r="BC10" s="90" t="s">
        <v>9</v>
      </c>
      <c r="BD10" s="58" t="s">
        <v>22</v>
      </c>
      <c r="BE10" s="83"/>
    </row>
    <row r="11" spans="1:57" s="55" customFormat="1" x14ac:dyDescent="0.2">
      <c r="A11" s="54"/>
      <c r="B11" s="81" t="s">
        <v>601</v>
      </c>
      <c r="C11" s="81" t="s">
        <v>112</v>
      </c>
      <c r="D11" s="81" t="s">
        <v>362</v>
      </c>
      <c r="E11" s="85">
        <v>2021</v>
      </c>
      <c r="F11" s="83" t="s">
        <v>359</v>
      </c>
      <c r="G11" s="82" t="s">
        <v>187</v>
      </c>
      <c r="H11" s="82">
        <v>2054</v>
      </c>
      <c r="I11" s="134" t="s">
        <v>212</v>
      </c>
      <c r="J11" s="82">
        <v>515540</v>
      </c>
      <c r="K11" s="82" t="s">
        <v>256</v>
      </c>
      <c r="L11" s="82" t="s">
        <v>279</v>
      </c>
      <c r="M11" s="82" t="s">
        <v>8</v>
      </c>
      <c r="N11" s="85" t="s">
        <v>600</v>
      </c>
      <c r="O11" s="82" t="s">
        <v>266</v>
      </c>
      <c r="P11" s="84"/>
      <c r="Q11" s="81" t="s">
        <v>601</v>
      </c>
      <c r="R11" s="81" t="s">
        <v>601</v>
      </c>
      <c r="S11" s="85">
        <v>0</v>
      </c>
      <c r="T11" s="85">
        <v>2</v>
      </c>
      <c r="U11" s="82">
        <f t="shared" si="10"/>
        <v>2</v>
      </c>
      <c r="V11" s="86">
        <v>0</v>
      </c>
      <c r="W11" s="86">
        <v>0</v>
      </c>
      <c r="X11" s="86">
        <v>1</v>
      </c>
      <c r="Y11" s="86">
        <v>0</v>
      </c>
      <c r="Z11" s="86">
        <v>0</v>
      </c>
      <c r="AA11" s="86">
        <v>0</v>
      </c>
      <c r="AB11" s="87">
        <v>0</v>
      </c>
      <c r="AC11" s="87">
        <v>0</v>
      </c>
      <c r="AD11" s="87">
        <v>0</v>
      </c>
      <c r="AE11" s="87">
        <v>0</v>
      </c>
      <c r="AF11" s="87">
        <v>0</v>
      </c>
      <c r="AG11" s="87">
        <v>1</v>
      </c>
      <c r="AH11" s="86">
        <v>0</v>
      </c>
      <c r="AI11" s="86">
        <v>0</v>
      </c>
      <c r="AJ11" s="86">
        <v>30</v>
      </c>
      <c r="AK11" s="86">
        <v>0</v>
      </c>
      <c r="AL11" s="86">
        <v>0</v>
      </c>
      <c r="AM11" s="86">
        <v>0</v>
      </c>
      <c r="AN11" s="88">
        <f t="shared" si="11"/>
        <v>30</v>
      </c>
      <c r="AO11" s="87">
        <v>0</v>
      </c>
      <c r="AP11" s="87">
        <v>0</v>
      </c>
      <c r="AQ11" s="87">
        <v>0</v>
      </c>
      <c r="AR11" s="87">
        <v>0</v>
      </c>
      <c r="AS11" s="87">
        <v>0</v>
      </c>
      <c r="AT11" s="87">
        <v>12</v>
      </c>
      <c r="AU11" s="88">
        <f t="shared" ref="AU11:AU14" si="14">SUM(AO11:AT11)</f>
        <v>12</v>
      </c>
      <c r="AV11" s="88" t="str">
        <f t="shared" si="7"/>
        <v>No</v>
      </c>
      <c r="AW11" s="132">
        <f t="shared" ref="AW11:AW14" si="15">AU11-AN11</f>
        <v>-18</v>
      </c>
      <c r="AX11" s="209">
        <f t="shared" si="13"/>
        <v>-0.6</v>
      </c>
      <c r="AY11" s="89">
        <v>43891</v>
      </c>
      <c r="AZ11" s="89">
        <v>43996</v>
      </c>
      <c r="BA11" s="89">
        <v>43894</v>
      </c>
      <c r="BB11" s="89" t="s">
        <v>7</v>
      </c>
      <c r="BC11" s="90" t="s">
        <v>158</v>
      </c>
      <c r="BD11" s="58" t="s">
        <v>5</v>
      </c>
      <c r="BE11" s="83"/>
    </row>
    <row r="12" spans="1:57" s="55" customFormat="1" x14ac:dyDescent="0.2">
      <c r="A12" s="54"/>
      <c r="B12" s="81" t="s">
        <v>611</v>
      </c>
      <c r="C12" s="81" t="s">
        <v>112</v>
      </c>
      <c r="D12" s="81" t="s">
        <v>362</v>
      </c>
      <c r="E12" s="85">
        <v>2021</v>
      </c>
      <c r="F12" s="83" t="s">
        <v>357</v>
      </c>
      <c r="G12" s="82" t="s">
        <v>187</v>
      </c>
      <c r="H12" s="82">
        <v>2054</v>
      </c>
      <c r="I12" s="134" t="s">
        <v>212</v>
      </c>
      <c r="J12" s="82">
        <v>515540</v>
      </c>
      <c r="K12" s="82" t="s">
        <v>256</v>
      </c>
      <c r="L12" s="82" t="s">
        <v>279</v>
      </c>
      <c r="M12" s="82" t="s">
        <v>8</v>
      </c>
      <c r="N12" s="85" t="s">
        <v>600</v>
      </c>
      <c r="O12" s="82" t="s">
        <v>266</v>
      </c>
      <c r="P12" s="84"/>
      <c r="Q12" s="81" t="s">
        <v>612</v>
      </c>
      <c r="R12" s="81" t="s">
        <v>215</v>
      </c>
      <c r="S12" s="85">
        <v>10</v>
      </c>
      <c r="T12" s="85">
        <v>0</v>
      </c>
      <c r="U12" s="82">
        <f t="shared" si="10"/>
        <v>10</v>
      </c>
      <c r="V12" s="86">
        <v>0</v>
      </c>
      <c r="W12" s="86">
        <v>0</v>
      </c>
      <c r="X12" s="86">
        <v>1</v>
      </c>
      <c r="Y12" s="86">
        <v>0</v>
      </c>
      <c r="Z12" s="86">
        <v>0</v>
      </c>
      <c r="AA12" s="86">
        <v>0</v>
      </c>
      <c r="AB12" s="87">
        <v>0</v>
      </c>
      <c r="AC12" s="87">
        <v>0</v>
      </c>
      <c r="AD12" s="87">
        <v>0</v>
      </c>
      <c r="AE12" s="87">
        <v>0</v>
      </c>
      <c r="AF12" s="87">
        <v>0</v>
      </c>
      <c r="AG12" s="87">
        <v>1</v>
      </c>
      <c r="AH12" s="86">
        <v>0</v>
      </c>
      <c r="AI12" s="86">
        <v>0</v>
      </c>
      <c r="AJ12" s="86">
        <v>30</v>
      </c>
      <c r="AK12" s="86">
        <v>0</v>
      </c>
      <c r="AL12" s="86">
        <v>0</v>
      </c>
      <c r="AM12" s="86">
        <v>0</v>
      </c>
      <c r="AN12" s="88">
        <f t="shared" si="11"/>
        <v>30</v>
      </c>
      <c r="AO12" s="87">
        <v>0</v>
      </c>
      <c r="AP12" s="87">
        <v>0</v>
      </c>
      <c r="AQ12" s="87">
        <v>0</v>
      </c>
      <c r="AR12" s="87">
        <v>0</v>
      </c>
      <c r="AS12" s="87">
        <v>0</v>
      </c>
      <c r="AT12" s="87">
        <v>5</v>
      </c>
      <c r="AU12" s="88">
        <f t="shared" si="14"/>
        <v>5</v>
      </c>
      <c r="AV12" s="88" t="str">
        <f t="shared" si="7"/>
        <v>No</v>
      </c>
      <c r="AW12" s="132">
        <f t="shared" si="15"/>
        <v>-25</v>
      </c>
      <c r="AX12" s="209">
        <f t="shared" si="13"/>
        <v>-0.83333333333333337</v>
      </c>
      <c r="AY12" s="89">
        <v>44293</v>
      </c>
      <c r="AZ12" s="89">
        <v>44384</v>
      </c>
      <c r="BA12" s="89">
        <v>44293</v>
      </c>
      <c r="BB12" s="89" t="s">
        <v>7</v>
      </c>
      <c r="BC12" s="90" t="s">
        <v>158</v>
      </c>
      <c r="BD12" s="58" t="s">
        <v>5</v>
      </c>
      <c r="BE12" s="83"/>
    </row>
    <row r="13" spans="1:57" s="55" customFormat="1" x14ac:dyDescent="0.2">
      <c r="A13" s="54"/>
      <c r="B13" s="81" t="s">
        <v>602</v>
      </c>
      <c r="C13" s="81" t="s">
        <v>112</v>
      </c>
      <c r="D13" s="81" t="s">
        <v>362</v>
      </c>
      <c r="E13" s="85">
        <v>2021</v>
      </c>
      <c r="F13" s="83" t="s">
        <v>359</v>
      </c>
      <c r="G13" s="82" t="s">
        <v>187</v>
      </c>
      <c r="H13" s="82">
        <v>2054</v>
      </c>
      <c r="I13" s="134" t="s">
        <v>212</v>
      </c>
      <c r="J13" s="82">
        <v>515540</v>
      </c>
      <c r="K13" s="82" t="s">
        <v>256</v>
      </c>
      <c r="L13" s="82" t="s">
        <v>279</v>
      </c>
      <c r="M13" s="82" t="s">
        <v>8</v>
      </c>
      <c r="N13" s="85" t="s">
        <v>600</v>
      </c>
      <c r="O13" s="82" t="s">
        <v>385</v>
      </c>
      <c r="P13" s="234"/>
      <c r="Q13" s="81" t="s">
        <v>603</v>
      </c>
      <c r="R13" s="81" t="s">
        <v>605</v>
      </c>
      <c r="S13" s="85">
        <v>6</v>
      </c>
      <c r="T13" s="85">
        <v>0</v>
      </c>
      <c r="U13" s="82">
        <f t="shared" si="10"/>
        <v>6</v>
      </c>
      <c r="V13" s="86">
        <v>0</v>
      </c>
      <c r="W13" s="86">
        <v>0</v>
      </c>
      <c r="X13" s="86">
        <v>1</v>
      </c>
      <c r="Y13" s="86">
        <v>0</v>
      </c>
      <c r="Z13" s="86">
        <v>0</v>
      </c>
      <c r="AA13" s="86">
        <v>0</v>
      </c>
      <c r="AB13" s="87">
        <v>0</v>
      </c>
      <c r="AC13" s="87">
        <v>0</v>
      </c>
      <c r="AD13" s="87">
        <v>0</v>
      </c>
      <c r="AE13" s="87">
        <v>0</v>
      </c>
      <c r="AF13" s="87">
        <v>0</v>
      </c>
      <c r="AG13" s="87">
        <v>1</v>
      </c>
      <c r="AH13" s="86">
        <v>0</v>
      </c>
      <c r="AI13" s="86">
        <v>0</v>
      </c>
      <c r="AJ13" s="86">
        <v>20</v>
      </c>
      <c r="AK13" s="86">
        <v>0</v>
      </c>
      <c r="AL13" s="86">
        <v>0</v>
      </c>
      <c r="AM13" s="86">
        <v>0</v>
      </c>
      <c r="AN13" s="88">
        <f t="shared" si="11"/>
        <v>20</v>
      </c>
      <c r="AO13" s="87">
        <v>0</v>
      </c>
      <c r="AP13" s="87">
        <v>0</v>
      </c>
      <c r="AQ13" s="87">
        <v>0</v>
      </c>
      <c r="AR13" s="87">
        <v>0</v>
      </c>
      <c r="AS13" s="87">
        <v>0</v>
      </c>
      <c r="AT13" s="87">
        <v>7</v>
      </c>
      <c r="AU13" s="88">
        <f t="shared" si="14"/>
        <v>7</v>
      </c>
      <c r="AV13" s="88" t="str">
        <f t="shared" si="7"/>
        <v>No</v>
      </c>
      <c r="AW13" s="132">
        <f t="shared" si="15"/>
        <v>-13</v>
      </c>
      <c r="AX13" s="209">
        <f t="shared" si="13"/>
        <v>-0.65</v>
      </c>
      <c r="AY13" s="89">
        <v>44234</v>
      </c>
      <c r="AZ13" s="89">
        <v>44364</v>
      </c>
      <c r="BA13" s="89">
        <v>44269</v>
      </c>
      <c r="BB13" s="89" t="s">
        <v>7</v>
      </c>
      <c r="BC13" s="90" t="s">
        <v>158</v>
      </c>
      <c r="BD13" s="58" t="s">
        <v>22</v>
      </c>
      <c r="BE13" s="83"/>
    </row>
    <row r="14" spans="1:57" s="55" customFormat="1" x14ac:dyDescent="0.2">
      <c r="A14" s="54"/>
      <c r="B14" s="81" t="s">
        <v>606</v>
      </c>
      <c r="C14" s="81" t="s">
        <v>112</v>
      </c>
      <c r="D14" s="81" t="s">
        <v>268</v>
      </c>
      <c r="E14" s="85">
        <v>2020</v>
      </c>
      <c r="F14" s="83" t="s">
        <v>358</v>
      </c>
      <c r="G14" s="82" t="s">
        <v>187</v>
      </c>
      <c r="H14" s="82">
        <v>2054</v>
      </c>
      <c r="I14" s="134" t="s">
        <v>212</v>
      </c>
      <c r="J14" s="82">
        <v>515540</v>
      </c>
      <c r="K14" s="82" t="s">
        <v>256</v>
      </c>
      <c r="L14" s="82" t="s">
        <v>279</v>
      </c>
      <c r="M14" s="82" t="s">
        <v>8</v>
      </c>
      <c r="N14" s="85" t="s">
        <v>600</v>
      </c>
      <c r="O14" s="82" t="s">
        <v>191</v>
      </c>
      <c r="P14" s="84"/>
      <c r="Q14" s="81" t="s">
        <v>394</v>
      </c>
      <c r="R14" s="81" t="s">
        <v>193</v>
      </c>
      <c r="S14" s="85">
        <v>20</v>
      </c>
      <c r="T14" s="85">
        <v>0</v>
      </c>
      <c r="U14" s="82">
        <f t="shared" si="10"/>
        <v>20</v>
      </c>
      <c r="V14" s="86">
        <v>0</v>
      </c>
      <c r="W14" s="86">
        <v>0</v>
      </c>
      <c r="X14" s="86">
        <v>1</v>
      </c>
      <c r="Y14" s="86">
        <v>0</v>
      </c>
      <c r="Z14" s="86">
        <v>0</v>
      </c>
      <c r="AA14" s="86">
        <v>0</v>
      </c>
      <c r="AB14" s="87">
        <v>0</v>
      </c>
      <c r="AC14" s="87">
        <v>0</v>
      </c>
      <c r="AD14" s="87">
        <v>0</v>
      </c>
      <c r="AE14" s="87">
        <v>0</v>
      </c>
      <c r="AF14" s="87">
        <v>0</v>
      </c>
      <c r="AG14" s="87">
        <v>1</v>
      </c>
      <c r="AH14" s="86">
        <v>0</v>
      </c>
      <c r="AI14" s="86">
        <v>0</v>
      </c>
      <c r="AJ14" s="86">
        <v>15</v>
      </c>
      <c r="AK14" s="86">
        <v>0</v>
      </c>
      <c r="AL14" s="86">
        <v>0</v>
      </c>
      <c r="AM14" s="86">
        <v>0</v>
      </c>
      <c r="AN14" s="88">
        <f t="shared" si="11"/>
        <v>15</v>
      </c>
      <c r="AO14" s="87">
        <v>0</v>
      </c>
      <c r="AP14" s="87">
        <v>0</v>
      </c>
      <c r="AQ14" s="87">
        <v>0</v>
      </c>
      <c r="AR14" s="87">
        <v>0</v>
      </c>
      <c r="AS14" s="87">
        <v>0</v>
      </c>
      <c r="AT14" s="87">
        <v>35</v>
      </c>
      <c r="AU14" s="88">
        <f t="shared" si="14"/>
        <v>35</v>
      </c>
      <c r="AV14" s="88" t="str">
        <f t="shared" si="7"/>
        <v>Yes</v>
      </c>
      <c r="AW14" s="132">
        <f t="shared" si="15"/>
        <v>20</v>
      </c>
      <c r="AX14" s="209">
        <f t="shared" si="13"/>
        <v>1.3333333333333333</v>
      </c>
      <c r="AY14" s="89">
        <v>44255</v>
      </c>
      <c r="AZ14" s="89">
        <v>44311</v>
      </c>
      <c r="BA14" s="89">
        <v>44256</v>
      </c>
      <c r="BB14" s="89" t="s">
        <v>7</v>
      </c>
      <c r="BC14" s="90"/>
      <c r="BD14" s="58" t="s">
        <v>22</v>
      </c>
      <c r="BE14" s="83"/>
    </row>
    <row r="15" spans="1:57" s="55" customFormat="1" x14ac:dyDescent="0.2">
      <c r="A15" s="54"/>
      <c r="B15" s="81" t="s">
        <v>554</v>
      </c>
      <c r="C15" s="81" t="s">
        <v>112</v>
      </c>
      <c r="D15" s="81" t="s">
        <v>268</v>
      </c>
      <c r="E15" s="85">
        <v>2020</v>
      </c>
      <c r="F15" s="83" t="s">
        <v>359</v>
      </c>
      <c r="G15" s="82" t="s">
        <v>187</v>
      </c>
      <c r="H15" s="82">
        <v>2054</v>
      </c>
      <c r="I15" s="134" t="s">
        <v>212</v>
      </c>
      <c r="J15" s="82">
        <v>515540</v>
      </c>
      <c r="K15" s="82" t="s">
        <v>279</v>
      </c>
      <c r="L15" s="82" t="s">
        <v>279</v>
      </c>
      <c r="M15" s="82" t="s">
        <v>4</v>
      </c>
      <c r="N15" s="85" t="s">
        <v>263</v>
      </c>
      <c r="O15" s="82" t="s">
        <v>191</v>
      </c>
      <c r="P15" s="84"/>
      <c r="Q15" s="81" t="s">
        <v>394</v>
      </c>
      <c r="R15" s="81" t="s">
        <v>193</v>
      </c>
      <c r="S15" s="85">
        <v>19</v>
      </c>
      <c r="T15" s="85">
        <v>0</v>
      </c>
      <c r="U15" s="82">
        <f t="shared" si="10"/>
        <v>19</v>
      </c>
      <c r="V15" s="86">
        <v>0</v>
      </c>
      <c r="W15" s="86">
        <v>0</v>
      </c>
      <c r="X15" s="86">
        <v>1</v>
      </c>
      <c r="Y15" s="86">
        <v>0</v>
      </c>
      <c r="Z15" s="86">
        <v>0</v>
      </c>
      <c r="AA15" s="86">
        <v>0</v>
      </c>
      <c r="AB15" s="87">
        <v>0</v>
      </c>
      <c r="AC15" s="87">
        <v>0</v>
      </c>
      <c r="AD15" s="87">
        <v>0</v>
      </c>
      <c r="AE15" s="87">
        <v>0</v>
      </c>
      <c r="AF15" s="87">
        <v>0</v>
      </c>
      <c r="AG15" s="87">
        <v>1</v>
      </c>
      <c r="AH15" s="86">
        <v>0</v>
      </c>
      <c r="AI15" s="86">
        <v>0</v>
      </c>
      <c r="AJ15" s="86">
        <v>4</v>
      </c>
      <c r="AK15" s="86">
        <v>0</v>
      </c>
      <c r="AL15" s="86">
        <v>0</v>
      </c>
      <c r="AM15" s="86">
        <v>0</v>
      </c>
      <c r="AN15" s="88">
        <f>SUM(AH15:AM15)</f>
        <v>4</v>
      </c>
      <c r="AO15" s="87">
        <v>0</v>
      </c>
      <c r="AP15" s="87">
        <v>0</v>
      </c>
      <c r="AQ15" s="87">
        <v>0</v>
      </c>
      <c r="AR15" s="87">
        <v>0</v>
      </c>
      <c r="AS15" s="87">
        <v>0</v>
      </c>
      <c r="AT15" s="87">
        <v>20</v>
      </c>
      <c r="AU15" s="88">
        <f>SUM(AO15:AT15)</f>
        <v>20</v>
      </c>
      <c r="AV15" s="88" t="str">
        <f t="shared" si="7"/>
        <v>Yes</v>
      </c>
      <c r="AW15" s="132">
        <f>AU15-AN15</f>
        <v>16</v>
      </c>
      <c r="AX15" s="209">
        <f t="shared" si="13"/>
        <v>4</v>
      </c>
      <c r="AY15" s="89">
        <v>44111</v>
      </c>
      <c r="AZ15" s="89">
        <v>44111</v>
      </c>
      <c r="BA15" s="89">
        <v>44111</v>
      </c>
      <c r="BB15" s="89" t="s">
        <v>7</v>
      </c>
      <c r="BC15" s="90" t="s">
        <v>158</v>
      </c>
      <c r="BD15" s="58" t="s">
        <v>22</v>
      </c>
      <c r="BE15" s="83"/>
    </row>
    <row r="16" spans="1:57" s="55" customFormat="1" x14ac:dyDescent="0.2">
      <c r="A16" s="54"/>
      <c r="B16" s="81" t="s">
        <v>269</v>
      </c>
      <c r="C16" s="81" t="s">
        <v>112</v>
      </c>
      <c r="D16" s="81" t="s">
        <v>265</v>
      </c>
      <c r="E16" s="85">
        <v>2020</v>
      </c>
      <c r="F16" s="83" t="s">
        <v>357</v>
      </c>
      <c r="G16" s="82" t="s">
        <v>187</v>
      </c>
      <c r="H16" s="82">
        <v>2054</v>
      </c>
      <c r="I16" s="134" t="s">
        <v>212</v>
      </c>
      <c r="J16" s="82">
        <v>515540</v>
      </c>
      <c r="K16" s="82" t="s">
        <v>279</v>
      </c>
      <c r="L16" s="82" t="s">
        <v>279</v>
      </c>
      <c r="M16" s="82" t="s">
        <v>4</v>
      </c>
      <c r="N16" s="85" t="s">
        <v>263</v>
      </c>
      <c r="O16" s="82" t="s">
        <v>4</v>
      </c>
      <c r="P16" s="192"/>
      <c r="Q16" s="81" t="s">
        <v>361</v>
      </c>
      <c r="R16" s="81" t="s">
        <v>267</v>
      </c>
      <c r="S16" s="85">
        <v>1</v>
      </c>
      <c r="T16" s="85">
        <v>0</v>
      </c>
      <c r="U16" s="82">
        <f t="shared" si="10"/>
        <v>1</v>
      </c>
      <c r="V16" s="86">
        <v>0</v>
      </c>
      <c r="W16" s="86">
        <v>0</v>
      </c>
      <c r="X16" s="86">
        <v>1</v>
      </c>
      <c r="Y16" s="86">
        <v>0</v>
      </c>
      <c r="Z16" s="86">
        <v>0</v>
      </c>
      <c r="AA16" s="86">
        <v>0</v>
      </c>
      <c r="AB16" s="87">
        <v>0</v>
      </c>
      <c r="AC16" s="87">
        <v>0</v>
      </c>
      <c r="AD16" s="87">
        <v>0</v>
      </c>
      <c r="AE16" s="87">
        <v>0</v>
      </c>
      <c r="AF16" s="87">
        <v>0</v>
      </c>
      <c r="AG16" s="87">
        <v>1</v>
      </c>
      <c r="AH16" s="86">
        <v>0</v>
      </c>
      <c r="AI16" s="86">
        <v>0</v>
      </c>
      <c r="AJ16" s="86">
        <v>15</v>
      </c>
      <c r="AK16" s="86">
        <v>0</v>
      </c>
      <c r="AL16" s="86">
        <v>0</v>
      </c>
      <c r="AM16" s="86">
        <v>0</v>
      </c>
      <c r="AN16" s="88">
        <f t="shared" si="0"/>
        <v>15</v>
      </c>
      <c r="AO16" s="87">
        <v>0</v>
      </c>
      <c r="AP16" s="87">
        <v>0</v>
      </c>
      <c r="AQ16" s="87">
        <v>0</v>
      </c>
      <c r="AR16" s="87">
        <v>0</v>
      </c>
      <c r="AS16" s="87">
        <v>0</v>
      </c>
      <c r="AT16" s="87">
        <v>33</v>
      </c>
      <c r="AU16" s="88">
        <f t="shared" si="1"/>
        <v>33</v>
      </c>
      <c r="AV16" s="88" t="str">
        <f t="shared" si="7"/>
        <v>Yes</v>
      </c>
      <c r="AW16" s="132">
        <f t="shared" si="3"/>
        <v>18</v>
      </c>
      <c r="AX16" s="209">
        <f t="shared" si="13"/>
        <v>1.2</v>
      </c>
      <c r="AY16" s="89">
        <v>44027</v>
      </c>
      <c r="AZ16" s="89">
        <v>44048</v>
      </c>
      <c r="BA16" s="89">
        <v>44027</v>
      </c>
      <c r="BB16" s="89">
        <v>44060</v>
      </c>
      <c r="BC16" s="90" t="s">
        <v>9</v>
      </c>
      <c r="BD16" s="58" t="s">
        <v>5</v>
      </c>
      <c r="BE16" s="83"/>
    </row>
    <row r="17" spans="1:57" s="55" customFormat="1" x14ac:dyDescent="0.2">
      <c r="A17" s="54"/>
      <c r="B17" s="81" t="s">
        <v>373</v>
      </c>
      <c r="C17" s="81" t="s">
        <v>112</v>
      </c>
      <c r="D17" s="81" t="s">
        <v>268</v>
      </c>
      <c r="E17" s="85">
        <v>2020</v>
      </c>
      <c r="F17" s="83" t="s">
        <v>358</v>
      </c>
      <c r="G17" s="82" t="s">
        <v>187</v>
      </c>
      <c r="H17" s="82">
        <v>2054</v>
      </c>
      <c r="I17" s="134" t="s">
        <v>212</v>
      </c>
      <c r="J17" s="82">
        <v>515540</v>
      </c>
      <c r="K17" s="82" t="s">
        <v>279</v>
      </c>
      <c r="L17" s="82" t="s">
        <v>279</v>
      </c>
      <c r="M17" s="82" t="s">
        <v>4</v>
      </c>
      <c r="N17" s="85" t="s">
        <v>263</v>
      </c>
      <c r="O17" s="82" t="s">
        <v>4</v>
      </c>
      <c r="P17" s="192"/>
      <c r="Q17" s="81" t="s">
        <v>394</v>
      </c>
      <c r="R17" s="81" t="s">
        <v>193</v>
      </c>
      <c r="S17" s="85">
        <v>19</v>
      </c>
      <c r="T17" s="85">
        <v>0</v>
      </c>
      <c r="U17" s="82">
        <f t="shared" si="10"/>
        <v>19</v>
      </c>
      <c r="V17" s="86">
        <v>0</v>
      </c>
      <c r="W17" s="86">
        <v>0</v>
      </c>
      <c r="X17" s="86">
        <v>1</v>
      </c>
      <c r="Y17" s="86">
        <v>0</v>
      </c>
      <c r="Z17" s="86">
        <v>0</v>
      </c>
      <c r="AA17" s="86">
        <v>0</v>
      </c>
      <c r="AB17" s="87">
        <v>0</v>
      </c>
      <c r="AC17" s="87">
        <v>0</v>
      </c>
      <c r="AD17" s="87">
        <v>0</v>
      </c>
      <c r="AE17" s="87">
        <v>0</v>
      </c>
      <c r="AF17" s="87">
        <v>0</v>
      </c>
      <c r="AG17" s="87">
        <v>1</v>
      </c>
      <c r="AH17" s="86">
        <v>0</v>
      </c>
      <c r="AI17" s="86">
        <v>0</v>
      </c>
      <c r="AJ17" s="86">
        <v>10</v>
      </c>
      <c r="AK17" s="86">
        <v>0</v>
      </c>
      <c r="AL17" s="86">
        <v>0</v>
      </c>
      <c r="AM17" s="86">
        <v>0</v>
      </c>
      <c r="AN17" s="88">
        <f t="shared" si="0"/>
        <v>10</v>
      </c>
      <c r="AO17" s="87">
        <v>0</v>
      </c>
      <c r="AP17" s="87">
        <v>0</v>
      </c>
      <c r="AQ17" s="87">
        <v>0</v>
      </c>
      <c r="AR17" s="87">
        <v>0</v>
      </c>
      <c r="AS17" s="87">
        <v>0</v>
      </c>
      <c r="AT17" s="87">
        <v>32</v>
      </c>
      <c r="AU17" s="88">
        <f t="shared" si="1"/>
        <v>32</v>
      </c>
      <c r="AV17" s="88" t="str">
        <f t="shared" si="7"/>
        <v>Yes</v>
      </c>
      <c r="AW17" s="132">
        <f t="shared" si="3"/>
        <v>22</v>
      </c>
      <c r="AX17" s="209">
        <f t="shared" si="13"/>
        <v>2.2000000000000002</v>
      </c>
      <c r="AY17" s="89">
        <v>44032</v>
      </c>
      <c r="AZ17" s="89">
        <v>44041</v>
      </c>
      <c r="BA17" s="89">
        <v>44032</v>
      </c>
      <c r="BB17" s="89">
        <v>44055</v>
      </c>
      <c r="BC17" s="90" t="s">
        <v>158</v>
      </c>
      <c r="BD17" s="58" t="s">
        <v>5</v>
      </c>
      <c r="BE17" s="83"/>
    </row>
    <row r="18" spans="1:57" x14ac:dyDescent="0.25">
      <c r="B18" s="81" t="s">
        <v>355</v>
      </c>
      <c r="C18" s="81" t="s">
        <v>112</v>
      </c>
      <c r="D18" s="81" t="s">
        <v>362</v>
      </c>
      <c r="E18" s="85">
        <v>2020</v>
      </c>
      <c r="F18" s="83" t="s">
        <v>359</v>
      </c>
      <c r="G18" s="82" t="s">
        <v>187</v>
      </c>
      <c r="H18" s="82">
        <v>2054</v>
      </c>
      <c r="I18" s="134" t="s">
        <v>212</v>
      </c>
      <c r="J18" s="82">
        <v>515540</v>
      </c>
      <c r="K18" s="82" t="s">
        <v>279</v>
      </c>
      <c r="L18" s="82" t="s">
        <v>279</v>
      </c>
      <c r="M18" s="82" t="s">
        <v>4</v>
      </c>
      <c r="N18" s="85" t="s">
        <v>263</v>
      </c>
      <c r="O18" s="82" t="s">
        <v>4</v>
      </c>
      <c r="P18" s="192"/>
      <c r="Q18" s="81" t="s">
        <v>372</v>
      </c>
      <c r="R18" s="81" t="s">
        <v>215</v>
      </c>
      <c r="S18" s="90">
        <v>0</v>
      </c>
      <c r="T18" s="85">
        <v>0</v>
      </c>
      <c r="U18" s="82">
        <f t="shared" si="10"/>
        <v>0</v>
      </c>
      <c r="V18" s="86">
        <v>0</v>
      </c>
      <c r="W18" s="86">
        <v>0</v>
      </c>
      <c r="X18" s="86">
        <v>1</v>
      </c>
      <c r="Y18" s="86">
        <v>0</v>
      </c>
      <c r="Z18" s="86">
        <v>0</v>
      </c>
      <c r="AA18" s="86">
        <v>0</v>
      </c>
      <c r="AB18" s="87">
        <v>0</v>
      </c>
      <c r="AC18" s="87">
        <v>0</v>
      </c>
      <c r="AD18" s="87">
        <v>0</v>
      </c>
      <c r="AE18" s="87">
        <v>0</v>
      </c>
      <c r="AF18" s="87">
        <v>0</v>
      </c>
      <c r="AG18" s="87">
        <v>1</v>
      </c>
      <c r="AH18" s="86">
        <v>0</v>
      </c>
      <c r="AI18" s="86">
        <v>0</v>
      </c>
      <c r="AJ18" s="86">
        <v>20</v>
      </c>
      <c r="AK18" s="86">
        <v>0</v>
      </c>
      <c r="AL18" s="86">
        <v>0</v>
      </c>
      <c r="AM18" s="86">
        <v>0</v>
      </c>
      <c r="AN18" s="88">
        <f t="shared" si="0"/>
        <v>20</v>
      </c>
      <c r="AO18" s="87">
        <v>0</v>
      </c>
      <c r="AP18" s="87">
        <v>0</v>
      </c>
      <c r="AQ18" s="87">
        <v>0</v>
      </c>
      <c r="AR18" s="87">
        <v>0</v>
      </c>
      <c r="AS18" s="87">
        <v>0</v>
      </c>
      <c r="AT18" s="87">
        <v>29</v>
      </c>
      <c r="AU18" s="88">
        <f t="shared" si="1"/>
        <v>29</v>
      </c>
      <c r="AV18" s="88" t="str">
        <f t="shared" si="7"/>
        <v>Yes</v>
      </c>
      <c r="AW18" s="132">
        <f t="shared" si="3"/>
        <v>9</v>
      </c>
      <c r="AX18" s="209">
        <f t="shared" si="13"/>
        <v>0.45</v>
      </c>
      <c r="AY18" s="89">
        <v>44052</v>
      </c>
      <c r="AZ18" s="89">
        <v>44080</v>
      </c>
      <c r="BA18" s="89">
        <v>44052</v>
      </c>
      <c r="BB18" s="89">
        <v>44094</v>
      </c>
      <c r="BC18" s="90" t="s">
        <v>9</v>
      </c>
      <c r="BD18" s="58" t="s">
        <v>5</v>
      </c>
      <c r="BE18" s="91"/>
    </row>
    <row r="19" spans="1:57" s="55" customFormat="1" x14ac:dyDescent="0.2">
      <c r="A19" s="54"/>
      <c r="B19" s="81" t="s">
        <v>249</v>
      </c>
      <c r="C19" s="81" t="s">
        <v>112</v>
      </c>
      <c r="D19" s="81" t="s">
        <v>268</v>
      </c>
      <c r="E19" s="85">
        <v>2020</v>
      </c>
      <c r="F19" s="83" t="s">
        <v>357</v>
      </c>
      <c r="G19" s="82" t="s">
        <v>187</v>
      </c>
      <c r="H19" s="82">
        <v>2054</v>
      </c>
      <c r="I19" s="134" t="s">
        <v>212</v>
      </c>
      <c r="J19" s="82">
        <v>515540</v>
      </c>
      <c r="K19" s="82" t="s">
        <v>256</v>
      </c>
      <c r="L19" s="82" t="s">
        <v>196</v>
      </c>
      <c r="M19" s="82" t="s">
        <v>4</v>
      </c>
      <c r="N19" s="85" t="s">
        <v>213</v>
      </c>
      <c r="O19" s="82" t="s">
        <v>4</v>
      </c>
      <c r="P19" s="84"/>
      <c r="Q19" s="81" t="s">
        <v>363</v>
      </c>
      <c r="R19" s="81" t="s">
        <v>193</v>
      </c>
      <c r="S19" s="90">
        <v>19</v>
      </c>
      <c r="T19" s="85">
        <v>0</v>
      </c>
      <c r="U19" s="82">
        <f t="shared" si="10"/>
        <v>19</v>
      </c>
      <c r="V19" s="86">
        <v>0</v>
      </c>
      <c r="W19" s="86">
        <v>0</v>
      </c>
      <c r="X19" s="86">
        <v>1</v>
      </c>
      <c r="Y19" s="86">
        <v>0</v>
      </c>
      <c r="Z19" s="86">
        <v>0</v>
      </c>
      <c r="AA19" s="86">
        <v>0</v>
      </c>
      <c r="AB19" s="87">
        <v>0</v>
      </c>
      <c r="AC19" s="87">
        <v>0</v>
      </c>
      <c r="AD19" s="87">
        <v>0</v>
      </c>
      <c r="AE19" s="87">
        <v>0</v>
      </c>
      <c r="AF19" s="87">
        <v>0</v>
      </c>
      <c r="AG19" s="87">
        <v>1</v>
      </c>
      <c r="AH19" s="86">
        <v>0</v>
      </c>
      <c r="AI19" s="86">
        <v>0</v>
      </c>
      <c r="AJ19" s="86">
        <v>21</v>
      </c>
      <c r="AK19" s="86">
        <v>0</v>
      </c>
      <c r="AL19" s="86">
        <v>0</v>
      </c>
      <c r="AM19" s="86">
        <v>0</v>
      </c>
      <c r="AN19" s="88">
        <f t="shared" si="0"/>
        <v>21</v>
      </c>
      <c r="AO19" s="87">
        <v>0</v>
      </c>
      <c r="AP19" s="87">
        <v>0</v>
      </c>
      <c r="AQ19" s="87">
        <v>0</v>
      </c>
      <c r="AR19" s="87">
        <v>0</v>
      </c>
      <c r="AS19" s="87">
        <v>0</v>
      </c>
      <c r="AT19" s="87">
        <v>46</v>
      </c>
      <c r="AU19" s="88">
        <f t="shared" si="1"/>
        <v>46</v>
      </c>
      <c r="AV19" s="88" t="str">
        <f t="shared" si="7"/>
        <v>Yes</v>
      </c>
      <c r="AW19" s="132">
        <f t="shared" si="3"/>
        <v>25</v>
      </c>
      <c r="AX19" s="209">
        <f t="shared" si="13"/>
        <v>1.1904761904761905</v>
      </c>
      <c r="AY19" s="89">
        <v>43921</v>
      </c>
      <c r="AZ19" s="89">
        <v>43949</v>
      </c>
      <c r="BA19" s="89">
        <v>43926</v>
      </c>
      <c r="BB19" s="89">
        <v>43996</v>
      </c>
      <c r="BC19" s="90" t="s">
        <v>158</v>
      </c>
      <c r="BD19" s="90" t="s">
        <v>5</v>
      </c>
      <c r="BE19" s="91"/>
    </row>
    <row r="20" spans="1:57" x14ac:dyDescent="0.25">
      <c r="AZ20" s="131"/>
      <c r="BA20" s="133"/>
    </row>
  </sheetData>
  <mergeCells count="30">
    <mergeCell ref="F2:F3"/>
    <mergeCell ref="E2:E3"/>
    <mergeCell ref="B2:B3"/>
    <mergeCell ref="AY2:AZ2"/>
    <mergeCell ref="C2:C3"/>
    <mergeCell ref="D2:D3"/>
    <mergeCell ref="I2:I3"/>
    <mergeCell ref="Q2:Q3"/>
    <mergeCell ref="N2:N3"/>
    <mergeCell ref="M2:M3"/>
    <mergeCell ref="P2:P3"/>
    <mergeCell ref="R2:R3"/>
    <mergeCell ref="L2:L3"/>
    <mergeCell ref="O2:O3"/>
    <mergeCell ref="G2:G3"/>
    <mergeCell ref="H2:H3"/>
    <mergeCell ref="J2:J3"/>
    <mergeCell ref="AW2:AW3"/>
    <mergeCell ref="K2:K3"/>
    <mergeCell ref="BE2:BE3"/>
    <mergeCell ref="S2:U2"/>
    <mergeCell ref="V2:AA2"/>
    <mergeCell ref="AB2:AG2"/>
    <mergeCell ref="AH2:AN2"/>
    <mergeCell ref="AO2:AU2"/>
    <mergeCell ref="BA2:BB2"/>
    <mergeCell ref="BC2:BC3"/>
    <mergeCell ref="BD2:BD3"/>
    <mergeCell ref="AX2:AX3"/>
    <mergeCell ref="AV2:AV3"/>
  </mergeCells>
  <conditionalFormatting sqref="P16:P17 O16:O19 M4 O4:P4 O6:P8 O15:P15 M6:M8 M15">
    <cfRule type="containsText" dxfId="79" priority="80" operator="containsText" text="In-Progress">
      <formula>NOT(ISERROR(SEARCH("In-Progress",M4)))</formula>
    </cfRule>
  </conditionalFormatting>
  <conditionalFormatting sqref="P18:P19 M16:M19">
    <cfRule type="containsText" dxfId="78" priority="79" operator="containsText" text="Completed">
      <formula>NOT(ISERROR(SEARCH("Completed",M16)))</formula>
    </cfRule>
  </conditionalFormatting>
  <conditionalFormatting sqref="M1:M4 M6:M8 M15:M1048576">
    <cfRule type="cellIs" dxfId="77" priority="75" operator="equal">
      <formula>"On-Hold"</formula>
    </cfRule>
  </conditionalFormatting>
  <conditionalFormatting sqref="M4 P4 P6:P8 P15:P17 M6:M8 M15">
    <cfRule type="cellIs" dxfId="76" priority="51" operator="equal">
      <formula>"Yet to Start"</formula>
    </cfRule>
  </conditionalFormatting>
  <conditionalFormatting sqref="O9:P10 M9:M14 O11:O14">
    <cfRule type="containsText" dxfId="75" priority="15" operator="containsText" text="In-Progress">
      <formula>NOT(ISERROR(SEARCH("In-Progress",M9)))</formula>
    </cfRule>
  </conditionalFormatting>
  <conditionalFormatting sqref="M9:M14">
    <cfRule type="cellIs" dxfId="74" priority="14" operator="equal">
      <formula>"On-Hold"</formula>
    </cfRule>
  </conditionalFormatting>
  <conditionalFormatting sqref="P9:P10 M9:M14">
    <cfRule type="cellIs" dxfId="73" priority="13" operator="equal">
      <formula>"Yet to Start"</formula>
    </cfRule>
  </conditionalFormatting>
  <conditionalFormatting sqref="O5:P5 M5">
    <cfRule type="containsText" dxfId="72" priority="12" operator="containsText" text="In-Progress">
      <formula>NOT(ISERROR(SEARCH("In-Progress",M5)))</formula>
    </cfRule>
  </conditionalFormatting>
  <conditionalFormatting sqref="M5">
    <cfRule type="cellIs" dxfId="71" priority="11" operator="equal">
      <formula>"On-Hold"</formula>
    </cfRule>
  </conditionalFormatting>
  <conditionalFormatting sqref="P5 M5">
    <cfRule type="cellIs" dxfId="70" priority="10" operator="equal">
      <formula>"Yet to Start"</formula>
    </cfRule>
  </conditionalFormatting>
  <conditionalFormatting sqref="M15">
    <cfRule type="containsText" dxfId="69" priority="9" operator="containsText" text="Completed">
      <formula>NOT(ISERROR(SEARCH("Completed",M15)))</formula>
    </cfRule>
  </conditionalFormatting>
  <conditionalFormatting sqref="P11:P12">
    <cfRule type="containsText" dxfId="68" priority="8" operator="containsText" text="In-Progress">
      <formula>NOT(ISERROR(SEARCH("In-Progress",P11)))</formula>
    </cfRule>
  </conditionalFormatting>
  <conditionalFormatting sqref="P11:P12">
    <cfRule type="cellIs" dxfId="67" priority="7" operator="equal">
      <formula>"Yet to Start"</formula>
    </cfRule>
  </conditionalFormatting>
  <conditionalFormatting sqref="P13">
    <cfRule type="containsText" dxfId="66" priority="4" operator="containsText" text="In-Progress">
      <formula>NOT(ISERROR(SEARCH("In-Progress",P13)))</formula>
    </cfRule>
  </conditionalFormatting>
  <conditionalFormatting sqref="P13">
    <cfRule type="cellIs" dxfId="65" priority="3" operator="equal">
      <formula>"Yet to Start"</formula>
    </cfRule>
  </conditionalFormatting>
  <conditionalFormatting sqref="P14">
    <cfRule type="containsText" dxfId="64" priority="2" operator="containsText" text="In-Progress">
      <formula>NOT(ISERROR(SEARCH("In-Progress",P14)))</formula>
    </cfRule>
  </conditionalFormatting>
  <conditionalFormatting sqref="P14">
    <cfRule type="cellIs" dxfId="63" priority="1" operator="equal">
      <formula>"Yet to Start"</formula>
    </cfRule>
  </conditionalFormatting>
  <dataValidations count="8">
    <dataValidation type="whole" operator="greaterThan" allowBlank="1" showInputMessage="1" showErrorMessage="1" sqref="S18:S19 U4:U19">
      <formula1>-1</formula1>
    </dataValidation>
    <dataValidation type="list" allowBlank="1" showInputMessage="1" showErrorMessage="1" sqref="BD4:BD19">
      <formula1>"Yes,No"</formula1>
    </dataValidation>
    <dataValidation operator="greaterThan" allowBlank="1" showInputMessage="1" showErrorMessage="1" sqref="V4:AX19"/>
    <dataValidation type="list" allowBlank="1" showInputMessage="1" showErrorMessage="1" sqref="K4:L19">
      <formula1>"Onsite, Offshore, Hybrid"</formula1>
    </dataValidation>
    <dataValidation type="list" allowBlank="1" showInputMessage="1" showErrorMessage="1" sqref="O4:O19">
      <formula1>"Planning,Design,Execution,Closure,Maintainance,Completed, Yet to Start"</formula1>
    </dataValidation>
    <dataValidation type="list" allowBlank="1" showInputMessage="1" showErrorMessage="1" sqref="M4:M19 O4:O19">
      <formula1>"In-Progress, On-Hold, Yet to Start, Completed"</formula1>
    </dataValidation>
    <dataValidation type="list" allowBlank="1" showInputMessage="1" showErrorMessage="1" sqref="G4:G19">
      <formula1>"T&amp;M, Fixed Bid, Staffing, BAU"</formula1>
    </dataValidation>
    <dataValidation type="list" allowBlank="1" showInputMessage="1" showErrorMessage="1" sqref="I4:I19">
      <formula1>"PO/SOW Signed,PO/SOW Pending, PO/SOW Submited"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N10"/>
  <sheetViews>
    <sheetView showGridLines="0" workbookViewId="0">
      <selection activeCell="C2" sqref="C2:C3"/>
    </sheetView>
  </sheetViews>
  <sheetFormatPr defaultRowHeight="15" customHeight="1" x14ac:dyDescent="0.25"/>
  <cols>
    <col min="1" max="1" width="3.28515625" customWidth="1"/>
    <col min="2" max="2" width="5.5703125" style="75" bestFit="1" customWidth="1"/>
    <col min="3" max="3" width="44.7109375" style="75" bestFit="1" customWidth="1"/>
    <col min="4" max="4" width="16.7109375" style="75" bestFit="1" customWidth="1"/>
    <col min="5" max="5" width="11.42578125" style="75" bestFit="1" customWidth="1"/>
    <col min="6" max="6" width="11.5703125" style="75" bestFit="1" customWidth="1"/>
    <col min="7" max="7" width="14.28515625" style="75" bestFit="1" customWidth="1"/>
    <col min="8" max="8" width="11" style="75" bestFit="1" customWidth="1"/>
    <col min="9" max="9" width="13.42578125" style="75" bestFit="1" customWidth="1"/>
    <col min="10" max="10" width="11" style="75" bestFit="1" customWidth="1"/>
    <col min="11" max="11" width="12.42578125" style="75" bestFit="1" customWidth="1"/>
    <col min="12" max="12" width="20.140625" style="75" bestFit="1" customWidth="1"/>
    <col min="13" max="13" width="24.7109375" style="75" bestFit="1" customWidth="1"/>
  </cols>
  <sheetData>
    <row r="1" spans="1:14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 ht="15.75" customHeight="1" x14ac:dyDescent="0.25">
      <c r="A2" s="1"/>
      <c r="B2" s="258" t="s">
        <v>0</v>
      </c>
      <c r="C2" s="258" t="s">
        <v>366</v>
      </c>
      <c r="D2" s="258" t="s">
        <v>10</v>
      </c>
      <c r="E2" s="258" t="s">
        <v>172</v>
      </c>
      <c r="F2" s="258" t="s">
        <v>1</v>
      </c>
      <c r="G2" s="258" t="s">
        <v>2</v>
      </c>
      <c r="H2" s="256" t="s">
        <v>145</v>
      </c>
      <c r="I2" s="257"/>
      <c r="J2" s="256" t="s">
        <v>146</v>
      </c>
      <c r="K2" s="257"/>
      <c r="L2" s="258" t="s">
        <v>204</v>
      </c>
      <c r="M2" s="258" t="s">
        <v>3</v>
      </c>
    </row>
    <row r="3" spans="1:14" s="176" customFormat="1" ht="18.75" customHeight="1" x14ac:dyDescent="0.25">
      <c r="A3" s="173"/>
      <c r="B3" s="259"/>
      <c r="C3" s="259"/>
      <c r="D3" s="259"/>
      <c r="E3" s="259"/>
      <c r="F3" s="259"/>
      <c r="G3" s="259"/>
      <c r="H3" s="174" t="s">
        <v>147</v>
      </c>
      <c r="I3" s="174" t="s">
        <v>364</v>
      </c>
      <c r="J3" s="174" t="s">
        <v>147</v>
      </c>
      <c r="K3" s="174" t="s">
        <v>365</v>
      </c>
      <c r="L3" s="259"/>
      <c r="M3" s="259"/>
      <c r="N3" s="175"/>
    </row>
    <row r="4" spans="1:14" x14ac:dyDescent="0.25">
      <c r="A4" s="1"/>
      <c r="B4" s="92">
        <v>1</v>
      </c>
      <c r="C4" s="93" t="s">
        <v>278</v>
      </c>
      <c r="D4" s="94" t="s">
        <v>270</v>
      </c>
      <c r="E4" s="93" t="s">
        <v>273</v>
      </c>
      <c r="F4" s="82" t="s">
        <v>8</v>
      </c>
      <c r="G4" s="94" t="s">
        <v>293</v>
      </c>
      <c r="H4" s="95">
        <v>44024</v>
      </c>
      <c r="I4" s="95">
        <v>44069</v>
      </c>
      <c r="J4" s="95">
        <v>44024</v>
      </c>
      <c r="K4" s="95" t="s">
        <v>7</v>
      </c>
      <c r="L4" s="95" t="s">
        <v>5</v>
      </c>
      <c r="M4" s="95" t="s">
        <v>22</v>
      </c>
    </row>
    <row r="5" spans="1:14" ht="15" customHeight="1" x14ac:dyDescent="0.25">
      <c r="A5" s="1"/>
      <c r="B5" s="92">
        <v>2</v>
      </c>
      <c r="C5" s="93" t="s">
        <v>369</v>
      </c>
      <c r="D5" s="94" t="s">
        <v>270</v>
      </c>
      <c r="E5" s="93" t="s">
        <v>273</v>
      </c>
      <c r="F5" s="82" t="s">
        <v>4</v>
      </c>
      <c r="G5" s="94" t="s">
        <v>6</v>
      </c>
      <c r="H5" s="95">
        <v>44035</v>
      </c>
      <c r="I5" s="95">
        <v>44047</v>
      </c>
      <c r="J5" s="95">
        <v>44035</v>
      </c>
      <c r="K5" s="95">
        <v>44054</v>
      </c>
      <c r="L5" s="95" t="s">
        <v>5</v>
      </c>
      <c r="M5" s="95" t="s">
        <v>5</v>
      </c>
    </row>
    <row r="6" spans="1:14" ht="15" customHeight="1" x14ac:dyDescent="0.25">
      <c r="A6" s="1"/>
      <c r="B6" s="92">
        <v>3</v>
      </c>
      <c r="C6" s="93" t="s">
        <v>368</v>
      </c>
      <c r="D6" s="94" t="s">
        <v>272</v>
      </c>
      <c r="E6" s="93" t="s">
        <v>271</v>
      </c>
      <c r="F6" s="82" t="s">
        <v>4</v>
      </c>
      <c r="G6" s="94" t="s">
        <v>6</v>
      </c>
      <c r="H6" s="95">
        <v>43988</v>
      </c>
      <c r="I6" s="95">
        <v>43991</v>
      </c>
      <c r="J6" s="95">
        <v>43988</v>
      </c>
      <c r="K6" s="95">
        <v>44052</v>
      </c>
      <c r="L6" s="95" t="s">
        <v>5</v>
      </c>
      <c r="M6" s="95" t="s">
        <v>5</v>
      </c>
    </row>
    <row r="7" spans="1:14" ht="15" customHeight="1" x14ac:dyDescent="0.25">
      <c r="A7" s="1"/>
      <c r="B7" s="92">
        <v>4</v>
      </c>
      <c r="C7" s="93" t="s">
        <v>367</v>
      </c>
      <c r="D7" s="94" t="s">
        <v>270</v>
      </c>
      <c r="E7" s="93" t="s">
        <v>273</v>
      </c>
      <c r="F7" s="82" t="s">
        <v>4</v>
      </c>
      <c r="G7" s="94" t="s">
        <v>213</v>
      </c>
      <c r="H7" s="95">
        <v>44026</v>
      </c>
      <c r="I7" s="95">
        <v>44039</v>
      </c>
      <c r="J7" s="95">
        <v>44026</v>
      </c>
      <c r="K7" s="95">
        <v>44038</v>
      </c>
      <c r="L7" s="95" t="s">
        <v>5</v>
      </c>
      <c r="M7" s="95" t="s">
        <v>5</v>
      </c>
    </row>
    <row r="8" spans="1:14" ht="15" customHeight="1" x14ac:dyDescent="0.25">
      <c r="A8" s="1"/>
      <c r="B8" s="92">
        <v>5</v>
      </c>
      <c r="C8" s="93" t="s">
        <v>274</v>
      </c>
      <c r="D8" s="94" t="s">
        <v>275</v>
      </c>
      <c r="E8" s="93" t="s">
        <v>276</v>
      </c>
      <c r="F8" s="82" t="s">
        <v>4</v>
      </c>
      <c r="G8" s="94" t="s">
        <v>263</v>
      </c>
      <c r="H8" s="95">
        <v>43985</v>
      </c>
      <c r="I8" s="95">
        <v>43989</v>
      </c>
      <c r="J8" s="95">
        <v>43985</v>
      </c>
      <c r="K8" s="95">
        <v>43987</v>
      </c>
      <c r="L8" s="95" t="s">
        <v>5</v>
      </c>
      <c r="M8" s="95" t="s">
        <v>5</v>
      </c>
    </row>
    <row r="9" spans="1:14" ht="15" customHeight="1" x14ac:dyDescent="0.25">
      <c r="A9" s="1"/>
      <c r="B9" s="92">
        <v>6</v>
      </c>
      <c r="C9" s="93" t="s">
        <v>277</v>
      </c>
      <c r="D9" s="94" t="s">
        <v>275</v>
      </c>
      <c r="E9" s="93" t="s">
        <v>276</v>
      </c>
      <c r="F9" s="82" t="s">
        <v>4</v>
      </c>
      <c r="G9" s="94" t="s">
        <v>263</v>
      </c>
      <c r="H9" s="95">
        <v>43985</v>
      </c>
      <c r="I9" s="95">
        <v>43987</v>
      </c>
      <c r="J9" s="95">
        <v>43985</v>
      </c>
      <c r="K9" s="95">
        <v>43987</v>
      </c>
      <c r="L9" s="95" t="s">
        <v>5</v>
      </c>
      <c r="M9" s="95" t="s">
        <v>5</v>
      </c>
    </row>
    <row r="10" spans="1:14" ht="15" customHeight="1" x14ac:dyDescent="0.25">
      <c r="A10" s="1"/>
      <c r="B10" s="96"/>
      <c r="C10" s="97"/>
      <c r="D10" s="97"/>
      <c r="E10" s="97"/>
      <c r="F10" s="98"/>
      <c r="G10" s="98"/>
      <c r="H10" s="97"/>
      <c r="I10" s="99"/>
      <c r="J10" s="97"/>
      <c r="K10" s="100"/>
      <c r="L10" s="100"/>
    </row>
  </sheetData>
  <mergeCells count="10">
    <mergeCell ref="H2:I2"/>
    <mergeCell ref="J2:K2"/>
    <mergeCell ref="L2:L3"/>
    <mergeCell ref="M2:M3"/>
    <mergeCell ref="B2:B3"/>
    <mergeCell ref="C2:C3"/>
    <mergeCell ref="D2:D3"/>
    <mergeCell ref="E2:E3"/>
    <mergeCell ref="F2:F3"/>
    <mergeCell ref="G2:G3"/>
  </mergeCells>
  <conditionalFormatting sqref="F1:F2 F4:F1048576">
    <cfRule type="cellIs" dxfId="62" priority="1" operator="equal">
      <formula>"Completed"</formula>
    </cfRule>
    <cfRule type="cellIs" dxfId="61" priority="2" operator="equal">
      <formula>"On-Hold"</formula>
    </cfRule>
    <cfRule type="cellIs" dxfId="60" priority="3" operator="equal">
      <formula>"Yet to Start"</formula>
    </cfRule>
    <cfRule type="containsText" dxfId="59" priority="4" operator="containsText" text="In-Progress">
      <formula>NOT(ISERROR(SEARCH("In-Progress",F1)))</formula>
    </cfRule>
  </conditionalFormatting>
  <dataValidations count="4">
    <dataValidation type="list" allowBlank="1" showInputMessage="1" showErrorMessage="1" sqref="D4:D5 D8:D9">
      <formula1>"Demo, Manual, Feasibility Report, Template, Utility, Assessment"</formula1>
    </dataValidation>
    <dataValidation type="list" allowBlank="1" showInputMessage="1" showErrorMessage="1" sqref="D6:D7">
      <formula1>"Demo, Manual, Feasibility Report, Presentation, Template, Utility, Assessment"</formula1>
    </dataValidation>
    <dataValidation type="list" allowBlank="1" showInputMessage="1" showErrorMessage="1" sqref="L4:M9">
      <formula1>"Yes, No"</formula1>
    </dataValidation>
    <dataValidation type="list" allowBlank="1" showInputMessage="1" showErrorMessage="1" sqref="F4:F9">
      <formula1>"In-Progress, On-Hold, Yet to Start, Completed"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3366FF"/>
  </sheetPr>
  <dimension ref="A1:Y54"/>
  <sheetViews>
    <sheetView showGridLines="0" topLeftCell="A28" workbookViewId="0">
      <selection activeCell="F22" sqref="F22"/>
    </sheetView>
  </sheetViews>
  <sheetFormatPr defaultRowHeight="15" x14ac:dyDescent="0.25"/>
  <cols>
    <col min="1" max="1" width="4.5703125" customWidth="1"/>
    <col min="2" max="2" width="14.42578125" style="117" bestFit="1" customWidth="1"/>
    <col min="3" max="3" width="19.7109375" style="117" bestFit="1" customWidth="1"/>
    <col min="4" max="4" width="13.140625" style="117" bestFit="1" customWidth="1"/>
    <col min="5" max="5" width="12.85546875" style="117" bestFit="1" customWidth="1"/>
    <col min="6" max="6" width="12.140625" style="117" bestFit="1" customWidth="1"/>
    <col min="7" max="7" width="14.7109375" style="117" bestFit="1" customWidth="1"/>
    <col min="8" max="8" width="9.28515625" style="117" bestFit="1" customWidth="1"/>
    <col min="9" max="9" width="29.42578125" style="117" bestFit="1" customWidth="1"/>
    <col min="10" max="10" width="6.5703125" style="117" bestFit="1" customWidth="1"/>
    <col min="11" max="11" width="10.42578125" style="117" bestFit="1" customWidth="1"/>
    <col min="12" max="13" width="9.140625" style="117"/>
    <col min="14" max="14" width="13.28515625" style="117" customWidth="1"/>
    <col min="15" max="17" width="9.140625" style="117"/>
    <col min="18" max="18" width="8" style="117" bestFit="1" customWidth="1"/>
    <col min="19" max="20" width="8.85546875" style="117" bestFit="1" customWidth="1"/>
    <col min="25" max="25" width="10.28515625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x14ac:dyDescent="0.25">
      <c r="B2"/>
      <c r="C2" s="262" t="s">
        <v>225</v>
      </c>
      <c r="D2" s="262"/>
      <c r="E2" s="26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2:20" x14ac:dyDescent="0.25">
      <c r="B3"/>
      <c r="C3" s="119" t="s">
        <v>236</v>
      </c>
      <c r="D3" s="119" t="s">
        <v>237</v>
      </c>
      <c r="E3" s="119" t="s">
        <v>238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x14ac:dyDescent="0.25">
      <c r="B4"/>
      <c r="C4" s="121" t="s">
        <v>242</v>
      </c>
      <c r="D4" s="122">
        <v>6500</v>
      </c>
      <c r="E4" s="122">
        <v>3850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2:20" x14ac:dyDescent="0.25">
      <c r="B5"/>
      <c r="C5" s="121" t="s">
        <v>243</v>
      </c>
      <c r="D5" s="122">
        <v>8500</v>
      </c>
      <c r="E5" s="122">
        <v>4950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2:20" x14ac:dyDescent="0.25">
      <c r="B6"/>
      <c r="C6" s="191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2:20" x14ac:dyDescent="0.25">
      <c r="B7"/>
      <c r="C7" s="267" t="s">
        <v>582</v>
      </c>
      <c r="D7" s="267"/>
      <c r="E7" s="26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2:20" x14ac:dyDescent="0.25">
      <c r="B8"/>
      <c r="C8" s="125" t="s">
        <v>246</v>
      </c>
      <c r="D8" s="125" t="s">
        <v>247</v>
      </c>
      <c r="E8" s="125" t="s">
        <v>248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2:20" x14ac:dyDescent="0.25">
      <c r="B9"/>
      <c r="C9" s="126" t="s">
        <v>577</v>
      </c>
      <c r="D9" s="123">
        <f>SUM(S29:S41)</f>
        <v>4431.818181818182</v>
      </c>
      <c r="E9" s="124">
        <f>SUM(T29:T39)</f>
        <v>35350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2:20" x14ac:dyDescent="0.25">
      <c r="B10"/>
      <c r="C10" s="127" t="s">
        <v>574</v>
      </c>
      <c r="D10" s="129">
        <f>6500*6</f>
        <v>39000</v>
      </c>
      <c r="E10" s="128" t="s">
        <v>608</v>
      </c>
      <c r="F10" s="191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2:20" x14ac:dyDescent="0.25">
      <c r="B11"/>
      <c r="C11" s="127" t="s">
        <v>575</v>
      </c>
      <c r="D11" s="129"/>
      <c r="E11" s="128" t="s">
        <v>609</v>
      </c>
      <c r="F11" s="19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2:20" x14ac:dyDescent="0.25">
      <c r="B12"/>
      <c r="C12" s="127" t="s">
        <v>576</v>
      </c>
      <c r="D12" s="129">
        <f>SUM(D10:D11)</f>
        <v>39000</v>
      </c>
      <c r="E12" s="128"/>
      <c r="F12" s="191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2:20" s="118" customFormat="1" x14ac:dyDescent="0.25">
      <c r="C13" s="127" t="s">
        <v>578</v>
      </c>
      <c r="D13" s="137">
        <f>D9+E9</f>
        <v>39781.818181818184</v>
      </c>
      <c r="E13" s="120"/>
      <c r="F13" s="147"/>
    </row>
    <row r="14" spans="2:20" x14ac:dyDescent="0.25">
      <c r="B14"/>
      <c r="C14" s="127" t="s">
        <v>579</v>
      </c>
      <c r="D14" s="130">
        <f>D12-D13</f>
        <v>-781.8181818181838</v>
      </c>
      <c r="E14" s="128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2:20" x14ac:dyDescent="0.25">
      <c r="B15"/>
      <c r="C15" s="127" t="s">
        <v>280</v>
      </c>
      <c r="D15" s="144">
        <f>D13/D10</f>
        <v>1.0200466200466201</v>
      </c>
      <c r="E15" s="128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2:20" x14ac:dyDescent="0.25">
      <c r="B16"/>
      <c r="C16" s="128"/>
      <c r="D16"/>
      <c r="E16" s="128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5" s="232" customFormat="1" x14ac:dyDescent="0.25">
      <c r="C17" s="267" t="s">
        <v>587</v>
      </c>
      <c r="D17" s="267"/>
      <c r="E17" s="267"/>
    </row>
    <row r="18" spans="1:25" x14ac:dyDescent="0.25">
      <c r="B18"/>
      <c r="C18" s="231" t="s">
        <v>246</v>
      </c>
      <c r="D18" s="231" t="s">
        <v>248</v>
      </c>
      <c r="E18" s="12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5" x14ac:dyDescent="0.25">
      <c r="B19"/>
      <c r="C19" s="126" t="s">
        <v>577</v>
      </c>
      <c r="D19" s="123">
        <f>SUM(T41:T45)</f>
        <v>7332.5</v>
      </c>
      <c r="E19" s="128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5" x14ac:dyDescent="0.25">
      <c r="B20"/>
      <c r="C20" s="127" t="s">
        <v>580</v>
      </c>
      <c r="D20" s="129">
        <v>11550</v>
      </c>
      <c r="E20" s="128" t="s">
        <v>610</v>
      </c>
      <c r="F20" t="s">
        <v>584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5" x14ac:dyDescent="0.25">
      <c r="B21"/>
      <c r="C21" s="127" t="s">
        <v>581</v>
      </c>
      <c r="D21" s="129"/>
      <c r="E21" s="128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5" x14ac:dyDescent="0.25">
      <c r="B22"/>
      <c r="C22" s="127" t="s">
        <v>607</v>
      </c>
      <c r="D22" s="129">
        <f>SUM(D20:D21)</f>
        <v>11550</v>
      </c>
      <c r="E22" s="128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5" x14ac:dyDescent="0.25">
      <c r="B23"/>
      <c r="C23" s="127" t="s">
        <v>257</v>
      </c>
      <c r="D23" s="137">
        <f>D19+E19</f>
        <v>7332.5</v>
      </c>
      <c r="E23" s="128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5" x14ac:dyDescent="0.25">
      <c r="B24"/>
      <c r="C24" s="127" t="s">
        <v>261</v>
      </c>
      <c r="D24" s="130">
        <f>D22-D23</f>
        <v>4217.5</v>
      </c>
      <c r="E24" s="128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5" x14ac:dyDescent="0.25">
      <c r="B25"/>
      <c r="C25" s="127" t="s">
        <v>280</v>
      </c>
      <c r="D25" s="144">
        <f>D23/D20</f>
        <v>0.63484848484848488</v>
      </c>
      <c r="E25" s="128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5" ht="15" customHeight="1" x14ac:dyDescent="0.25">
      <c r="B27" s="266" t="s">
        <v>353</v>
      </c>
      <c r="C27" s="261" t="s">
        <v>244</v>
      </c>
      <c r="D27" s="261" t="s">
        <v>245</v>
      </c>
      <c r="E27" s="261" t="s">
        <v>419</v>
      </c>
      <c r="F27" s="266" t="s">
        <v>222</v>
      </c>
      <c r="G27" s="266" t="s">
        <v>223</v>
      </c>
      <c r="H27" s="266" t="s">
        <v>232</v>
      </c>
      <c r="I27" s="266" t="s">
        <v>231</v>
      </c>
      <c r="J27" s="264" t="s">
        <v>230</v>
      </c>
      <c r="K27" s="263" t="s">
        <v>224</v>
      </c>
      <c r="L27" s="260" t="s">
        <v>233</v>
      </c>
      <c r="M27" s="260"/>
      <c r="N27" s="260"/>
      <c r="O27" s="260" t="s">
        <v>234</v>
      </c>
      <c r="P27" s="260"/>
      <c r="Q27" s="260"/>
      <c r="R27" s="260" t="s">
        <v>239</v>
      </c>
      <c r="S27" s="260"/>
      <c r="T27" s="260"/>
      <c r="U27" s="260" t="s">
        <v>413</v>
      </c>
      <c r="V27" s="260"/>
      <c r="W27" s="260"/>
      <c r="X27" s="260"/>
      <c r="Y27" s="260"/>
    </row>
    <row r="28" spans="1:25" ht="38.25" x14ac:dyDescent="0.25">
      <c r="B28" s="266"/>
      <c r="C28" s="261"/>
      <c r="D28" s="261"/>
      <c r="E28" s="261"/>
      <c r="F28" s="266"/>
      <c r="G28" s="266"/>
      <c r="H28" s="266"/>
      <c r="I28" s="266"/>
      <c r="J28" s="265"/>
      <c r="K28" s="263"/>
      <c r="L28" s="112" t="s">
        <v>226</v>
      </c>
      <c r="M28" s="112" t="s">
        <v>227</v>
      </c>
      <c r="N28" s="112" t="s">
        <v>228</v>
      </c>
      <c r="O28" s="112" t="s">
        <v>226</v>
      </c>
      <c r="P28" s="112" t="s">
        <v>227</v>
      </c>
      <c r="Q28" s="112" t="s">
        <v>228</v>
      </c>
      <c r="R28" s="112" t="s">
        <v>229</v>
      </c>
      <c r="S28" s="113" t="s">
        <v>240</v>
      </c>
      <c r="T28" s="113" t="s">
        <v>241</v>
      </c>
      <c r="U28" s="204" t="s">
        <v>415</v>
      </c>
      <c r="V28" s="204" t="s">
        <v>416</v>
      </c>
      <c r="W28" s="204" t="s">
        <v>417</v>
      </c>
      <c r="X28" s="204" t="s">
        <v>418</v>
      </c>
      <c r="Y28" s="204" t="s">
        <v>414</v>
      </c>
    </row>
    <row r="29" spans="1:25" s="111" customFormat="1" x14ac:dyDescent="0.25">
      <c r="A29"/>
      <c r="B29" s="114" t="s">
        <v>582</v>
      </c>
      <c r="C29" s="115">
        <v>43891</v>
      </c>
      <c r="D29" s="115">
        <f>EOMONTH(C29,0)</f>
        <v>43921</v>
      </c>
      <c r="E29" s="114">
        <v>22</v>
      </c>
      <c r="F29" s="114">
        <v>4288</v>
      </c>
      <c r="G29" s="114" t="s">
        <v>217</v>
      </c>
      <c r="H29" s="114">
        <v>515540</v>
      </c>
      <c r="I29" s="114" t="s">
        <v>586</v>
      </c>
      <c r="J29" s="114">
        <v>2054</v>
      </c>
      <c r="K29" s="114" t="s">
        <v>242</v>
      </c>
      <c r="L29" s="114">
        <v>22</v>
      </c>
      <c r="M29" s="114">
        <v>0</v>
      </c>
      <c r="N29" s="114">
        <f t="shared" ref="N29:N37" si="0">L29+M29</f>
        <v>22</v>
      </c>
      <c r="O29" s="114">
        <v>15</v>
      </c>
      <c r="P29" s="114">
        <v>0</v>
      </c>
      <c r="Q29" s="114">
        <f t="shared" ref="Q29:Q37" si="1">O29+P29</f>
        <v>15</v>
      </c>
      <c r="R29" s="114" t="s">
        <v>235</v>
      </c>
      <c r="S29" s="116">
        <f t="shared" ref="S29:S39" si="2">IF($K29="PTE",($D$4/$E29)*O29,IF($K29="PTL",(($D$5/$E29)*O29)))</f>
        <v>4431.818181818182</v>
      </c>
      <c r="T29" s="116">
        <f t="shared" ref="T29:T39" si="3">IF($K29="PTE",($E$4/E29)*P29,IF($K29="PTL",(($E$5/E29)*P29)))</f>
        <v>0</v>
      </c>
      <c r="U29" s="116">
        <f t="shared" ref="U29:U37" si="4">($D$4/E29)*L29</f>
        <v>6500</v>
      </c>
      <c r="V29" s="116">
        <f>($E$4/E29)*O29</f>
        <v>2625</v>
      </c>
      <c r="W29" s="116">
        <f t="shared" ref="W29:W37" si="5">($E$4/E29)*M29</f>
        <v>0</v>
      </c>
      <c r="X29" s="116">
        <f t="shared" ref="X29:X37" si="6">($E$4/E29)*P29</f>
        <v>0</v>
      </c>
      <c r="Y29" s="116">
        <f t="shared" ref="Y29:Y37" si="7">(U29+W29)-(V29+X29)</f>
        <v>3875</v>
      </c>
    </row>
    <row r="30" spans="1:25" s="111" customFormat="1" x14ac:dyDescent="0.25">
      <c r="A30"/>
      <c r="B30" s="114" t="s">
        <v>582</v>
      </c>
      <c r="C30" s="115">
        <v>43952</v>
      </c>
      <c r="D30" s="115">
        <f t="shared" ref="D30:D37" si="8">EOMONTH(C30,0)</f>
        <v>43982</v>
      </c>
      <c r="E30" s="114">
        <v>22</v>
      </c>
      <c r="F30" s="114">
        <v>4288</v>
      </c>
      <c r="G30" s="114" t="s">
        <v>217</v>
      </c>
      <c r="H30" s="114">
        <v>515540</v>
      </c>
      <c r="I30" s="114" t="s">
        <v>586</v>
      </c>
      <c r="J30" s="114">
        <v>2054</v>
      </c>
      <c r="K30" s="114" t="s">
        <v>242</v>
      </c>
      <c r="L30" s="114">
        <v>0</v>
      </c>
      <c r="M30" s="114">
        <v>21</v>
      </c>
      <c r="N30" s="114">
        <f>L30+M30</f>
        <v>21</v>
      </c>
      <c r="O30" s="114">
        <v>0</v>
      </c>
      <c r="P30" s="114">
        <v>21</v>
      </c>
      <c r="Q30" s="114">
        <f t="shared" si="1"/>
        <v>21</v>
      </c>
      <c r="R30" s="114" t="s">
        <v>235</v>
      </c>
      <c r="S30" s="116">
        <f t="shared" si="2"/>
        <v>0</v>
      </c>
      <c r="T30" s="116">
        <f t="shared" si="3"/>
        <v>3675</v>
      </c>
      <c r="U30" s="116">
        <f t="shared" si="4"/>
        <v>0</v>
      </c>
      <c r="V30" s="116">
        <f t="shared" ref="V30:V37" si="9">($E$4/E30)*O30</f>
        <v>0</v>
      </c>
      <c r="W30" s="116">
        <f t="shared" si="5"/>
        <v>3675</v>
      </c>
      <c r="X30" s="116">
        <f t="shared" si="6"/>
        <v>3675</v>
      </c>
      <c r="Y30" s="116">
        <f t="shared" si="7"/>
        <v>0</v>
      </c>
    </row>
    <row r="31" spans="1:25" s="111" customFormat="1" x14ac:dyDescent="0.25">
      <c r="A31"/>
      <c r="B31" s="114" t="s">
        <v>582</v>
      </c>
      <c r="C31" s="115">
        <v>43983</v>
      </c>
      <c r="D31" s="115">
        <f t="shared" si="8"/>
        <v>44012</v>
      </c>
      <c r="E31" s="114">
        <v>22</v>
      </c>
      <c r="F31" s="114">
        <v>4288</v>
      </c>
      <c r="G31" s="114" t="s">
        <v>217</v>
      </c>
      <c r="H31" s="114">
        <v>515540</v>
      </c>
      <c r="I31" s="114" t="s">
        <v>586</v>
      </c>
      <c r="J31" s="114">
        <v>2054</v>
      </c>
      <c r="K31" s="114" t="s">
        <v>242</v>
      </c>
      <c r="L31" s="114">
        <v>0</v>
      </c>
      <c r="M31" s="114">
        <v>22</v>
      </c>
      <c r="N31" s="114">
        <f t="shared" si="0"/>
        <v>22</v>
      </c>
      <c r="O31" s="114">
        <v>0</v>
      </c>
      <c r="P31" s="114">
        <v>22</v>
      </c>
      <c r="Q31" s="114">
        <f t="shared" si="1"/>
        <v>22</v>
      </c>
      <c r="R31" s="114" t="s">
        <v>235</v>
      </c>
      <c r="S31" s="116">
        <f t="shared" si="2"/>
        <v>0</v>
      </c>
      <c r="T31" s="116">
        <f t="shared" si="3"/>
        <v>3850</v>
      </c>
      <c r="U31" s="116">
        <f t="shared" si="4"/>
        <v>0</v>
      </c>
      <c r="V31" s="116">
        <f t="shared" si="9"/>
        <v>0</v>
      </c>
      <c r="W31" s="116">
        <f t="shared" si="5"/>
        <v>3850</v>
      </c>
      <c r="X31" s="116">
        <f t="shared" si="6"/>
        <v>3850</v>
      </c>
      <c r="Y31" s="116">
        <f t="shared" si="7"/>
        <v>0</v>
      </c>
    </row>
    <row r="32" spans="1:25" s="111" customFormat="1" x14ac:dyDescent="0.25">
      <c r="A32"/>
      <c r="B32" s="114" t="s">
        <v>582</v>
      </c>
      <c r="C32" s="115">
        <v>44013</v>
      </c>
      <c r="D32" s="115">
        <f t="shared" si="8"/>
        <v>44043</v>
      </c>
      <c r="E32" s="114">
        <v>22</v>
      </c>
      <c r="F32" s="114">
        <v>4288</v>
      </c>
      <c r="G32" s="114" t="s">
        <v>217</v>
      </c>
      <c r="H32" s="114">
        <v>515540</v>
      </c>
      <c r="I32" s="114" t="s">
        <v>586</v>
      </c>
      <c r="J32" s="114">
        <v>2054</v>
      </c>
      <c r="K32" s="114" t="s">
        <v>242</v>
      </c>
      <c r="L32" s="114">
        <v>0</v>
      </c>
      <c r="M32" s="114">
        <v>22</v>
      </c>
      <c r="N32" s="114">
        <f t="shared" si="0"/>
        <v>22</v>
      </c>
      <c r="O32" s="114">
        <v>0</v>
      </c>
      <c r="P32" s="114">
        <v>22</v>
      </c>
      <c r="Q32" s="114">
        <f t="shared" si="1"/>
        <v>22</v>
      </c>
      <c r="R32" s="114" t="s">
        <v>235</v>
      </c>
      <c r="S32" s="116">
        <f t="shared" si="2"/>
        <v>0</v>
      </c>
      <c r="T32" s="116">
        <f t="shared" si="3"/>
        <v>3850</v>
      </c>
      <c r="U32" s="116">
        <f t="shared" si="4"/>
        <v>0</v>
      </c>
      <c r="V32" s="116">
        <f t="shared" si="9"/>
        <v>0</v>
      </c>
      <c r="W32" s="116">
        <f t="shared" si="5"/>
        <v>3850</v>
      </c>
      <c r="X32" s="116">
        <f t="shared" si="6"/>
        <v>3850</v>
      </c>
      <c r="Y32" s="116">
        <f t="shared" si="7"/>
        <v>0</v>
      </c>
    </row>
    <row r="33" spans="1:25" s="111" customFormat="1" x14ac:dyDescent="0.25">
      <c r="A33"/>
      <c r="B33" s="114" t="s">
        <v>582</v>
      </c>
      <c r="C33" s="115">
        <v>44044</v>
      </c>
      <c r="D33" s="115">
        <f t="shared" si="8"/>
        <v>44074</v>
      </c>
      <c r="E33" s="114">
        <v>22</v>
      </c>
      <c r="F33" s="114" t="s">
        <v>28</v>
      </c>
      <c r="G33" s="114" t="s">
        <v>292</v>
      </c>
      <c r="H33" s="114">
        <v>515540</v>
      </c>
      <c r="I33" s="114" t="s">
        <v>586</v>
      </c>
      <c r="J33" s="114">
        <v>2054</v>
      </c>
      <c r="K33" s="114" t="s">
        <v>242</v>
      </c>
      <c r="L33" s="114">
        <v>0</v>
      </c>
      <c r="M33" s="114">
        <v>21</v>
      </c>
      <c r="N33" s="114">
        <f t="shared" si="0"/>
        <v>21</v>
      </c>
      <c r="O33" s="114">
        <v>0</v>
      </c>
      <c r="P33" s="114">
        <v>20</v>
      </c>
      <c r="Q33" s="114">
        <f t="shared" si="1"/>
        <v>20</v>
      </c>
      <c r="R33" s="114" t="s">
        <v>235</v>
      </c>
      <c r="S33" s="116">
        <f t="shared" si="2"/>
        <v>0</v>
      </c>
      <c r="T33" s="116">
        <f t="shared" si="3"/>
        <v>3500</v>
      </c>
      <c r="U33" s="116">
        <f t="shared" si="4"/>
        <v>0</v>
      </c>
      <c r="V33" s="116">
        <f t="shared" si="9"/>
        <v>0</v>
      </c>
      <c r="W33" s="116">
        <f t="shared" si="5"/>
        <v>3675</v>
      </c>
      <c r="X33" s="116">
        <f t="shared" si="6"/>
        <v>3500</v>
      </c>
      <c r="Y33" s="116">
        <f t="shared" si="7"/>
        <v>175</v>
      </c>
    </row>
    <row r="34" spans="1:25" s="111" customFormat="1" x14ac:dyDescent="0.25">
      <c r="A34"/>
      <c r="B34" s="114" t="s">
        <v>582</v>
      </c>
      <c r="C34" s="115">
        <v>44075</v>
      </c>
      <c r="D34" s="115">
        <f t="shared" si="8"/>
        <v>44104</v>
      </c>
      <c r="E34" s="114">
        <v>22</v>
      </c>
      <c r="F34" s="114">
        <v>4822</v>
      </c>
      <c r="G34" s="114" t="s">
        <v>292</v>
      </c>
      <c r="H34" s="114">
        <v>515540</v>
      </c>
      <c r="I34" s="114" t="s">
        <v>586</v>
      </c>
      <c r="J34" s="114">
        <v>2054</v>
      </c>
      <c r="K34" s="114" t="s">
        <v>242</v>
      </c>
      <c r="L34" s="114">
        <v>0</v>
      </c>
      <c r="M34" s="114">
        <v>22</v>
      </c>
      <c r="N34" s="114">
        <f t="shared" si="0"/>
        <v>22</v>
      </c>
      <c r="O34" s="114">
        <v>0</v>
      </c>
      <c r="P34" s="114">
        <v>21</v>
      </c>
      <c r="Q34" s="114">
        <f t="shared" si="1"/>
        <v>21</v>
      </c>
      <c r="R34" s="114" t="s">
        <v>235</v>
      </c>
      <c r="S34" s="116">
        <f t="shared" si="2"/>
        <v>0</v>
      </c>
      <c r="T34" s="116">
        <f t="shared" si="3"/>
        <v>3675</v>
      </c>
      <c r="U34" s="116">
        <f t="shared" si="4"/>
        <v>0</v>
      </c>
      <c r="V34" s="116">
        <f t="shared" si="9"/>
        <v>0</v>
      </c>
      <c r="W34" s="116">
        <f t="shared" si="5"/>
        <v>3850</v>
      </c>
      <c r="X34" s="116">
        <f t="shared" si="6"/>
        <v>3675</v>
      </c>
      <c r="Y34" s="116">
        <f t="shared" si="7"/>
        <v>175</v>
      </c>
    </row>
    <row r="35" spans="1:25" s="111" customFormat="1" x14ac:dyDescent="0.25">
      <c r="A35"/>
      <c r="B35" s="114" t="s">
        <v>582</v>
      </c>
      <c r="C35" s="115">
        <v>44105</v>
      </c>
      <c r="D35" s="115">
        <f t="shared" si="8"/>
        <v>44135</v>
      </c>
      <c r="E35" s="114">
        <v>22</v>
      </c>
      <c r="F35" s="114">
        <v>4822</v>
      </c>
      <c r="G35" s="114" t="s">
        <v>292</v>
      </c>
      <c r="H35" s="114">
        <v>515540</v>
      </c>
      <c r="I35" s="114" t="s">
        <v>586</v>
      </c>
      <c r="J35" s="114">
        <v>2054</v>
      </c>
      <c r="K35" s="114" t="s">
        <v>242</v>
      </c>
      <c r="L35" s="114">
        <v>0</v>
      </c>
      <c r="M35" s="114">
        <v>21</v>
      </c>
      <c r="N35" s="114">
        <f t="shared" si="0"/>
        <v>21</v>
      </c>
      <c r="O35" s="114">
        <v>0</v>
      </c>
      <c r="P35" s="114">
        <v>17</v>
      </c>
      <c r="Q35" s="114">
        <f t="shared" si="1"/>
        <v>17</v>
      </c>
      <c r="R35" s="114" t="s">
        <v>235</v>
      </c>
      <c r="S35" s="116">
        <f t="shared" si="2"/>
        <v>0</v>
      </c>
      <c r="T35" s="116">
        <f t="shared" si="3"/>
        <v>2975</v>
      </c>
      <c r="U35" s="116">
        <f t="shared" si="4"/>
        <v>0</v>
      </c>
      <c r="V35" s="116">
        <f t="shared" si="9"/>
        <v>0</v>
      </c>
      <c r="W35" s="116">
        <f t="shared" si="5"/>
        <v>3675</v>
      </c>
      <c r="X35" s="116">
        <f t="shared" si="6"/>
        <v>2975</v>
      </c>
      <c r="Y35" s="116">
        <f t="shared" si="7"/>
        <v>700</v>
      </c>
    </row>
    <row r="36" spans="1:25" s="111" customFormat="1" x14ac:dyDescent="0.25">
      <c r="A36"/>
      <c r="B36" s="114" t="s">
        <v>582</v>
      </c>
      <c r="C36" s="115">
        <v>44136</v>
      </c>
      <c r="D36" s="115">
        <f t="shared" si="8"/>
        <v>44165</v>
      </c>
      <c r="E36" s="114">
        <v>22</v>
      </c>
      <c r="F36" s="114">
        <v>4822</v>
      </c>
      <c r="G36" s="114" t="s">
        <v>292</v>
      </c>
      <c r="H36" s="114">
        <v>515540</v>
      </c>
      <c r="I36" s="114" t="s">
        <v>586</v>
      </c>
      <c r="J36" s="114">
        <v>2054</v>
      </c>
      <c r="K36" s="114" t="s">
        <v>242</v>
      </c>
      <c r="L36" s="114">
        <v>0</v>
      </c>
      <c r="M36" s="114">
        <v>22</v>
      </c>
      <c r="N36" s="114">
        <f t="shared" si="0"/>
        <v>22</v>
      </c>
      <c r="O36" s="114">
        <v>0</v>
      </c>
      <c r="P36" s="114">
        <v>20</v>
      </c>
      <c r="Q36" s="114">
        <f t="shared" si="1"/>
        <v>20</v>
      </c>
      <c r="R36" s="114" t="s">
        <v>235</v>
      </c>
      <c r="S36" s="116">
        <f t="shared" si="2"/>
        <v>0</v>
      </c>
      <c r="T36" s="116">
        <f t="shared" si="3"/>
        <v>3500</v>
      </c>
      <c r="U36" s="116">
        <f t="shared" si="4"/>
        <v>0</v>
      </c>
      <c r="V36" s="116">
        <f t="shared" si="9"/>
        <v>0</v>
      </c>
      <c r="W36" s="116">
        <f t="shared" si="5"/>
        <v>3850</v>
      </c>
      <c r="X36" s="116">
        <f t="shared" si="6"/>
        <v>3500</v>
      </c>
      <c r="Y36" s="116">
        <f t="shared" si="7"/>
        <v>350</v>
      </c>
    </row>
    <row r="37" spans="1:25" s="111" customFormat="1" x14ac:dyDescent="0.25">
      <c r="A37"/>
      <c r="B37" s="114" t="s">
        <v>582</v>
      </c>
      <c r="C37" s="115">
        <v>44166</v>
      </c>
      <c r="D37" s="115">
        <f t="shared" si="8"/>
        <v>44196</v>
      </c>
      <c r="E37" s="114">
        <v>22</v>
      </c>
      <c r="F37" s="114">
        <v>4822</v>
      </c>
      <c r="G37" s="114" t="s">
        <v>292</v>
      </c>
      <c r="H37" s="114">
        <v>515540</v>
      </c>
      <c r="I37" s="114" t="s">
        <v>586</v>
      </c>
      <c r="J37" s="114">
        <v>2054</v>
      </c>
      <c r="K37" s="114" t="s">
        <v>242</v>
      </c>
      <c r="L37" s="114">
        <v>0</v>
      </c>
      <c r="M37" s="114">
        <v>23</v>
      </c>
      <c r="N37" s="114">
        <f t="shared" si="0"/>
        <v>23</v>
      </c>
      <c r="O37" s="114">
        <v>0</v>
      </c>
      <c r="P37" s="114">
        <v>17</v>
      </c>
      <c r="Q37" s="114">
        <f t="shared" si="1"/>
        <v>17</v>
      </c>
      <c r="R37" s="114" t="s">
        <v>235</v>
      </c>
      <c r="S37" s="116">
        <f t="shared" si="2"/>
        <v>0</v>
      </c>
      <c r="T37" s="116">
        <f t="shared" si="3"/>
        <v>2975</v>
      </c>
      <c r="U37" s="116">
        <f t="shared" si="4"/>
        <v>0</v>
      </c>
      <c r="V37" s="116">
        <f t="shared" si="9"/>
        <v>0</v>
      </c>
      <c r="W37" s="116">
        <f t="shared" si="5"/>
        <v>4025</v>
      </c>
      <c r="X37" s="116">
        <f t="shared" si="6"/>
        <v>2975</v>
      </c>
      <c r="Y37" s="116">
        <f t="shared" si="7"/>
        <v>1050</v>
      </c>
    </row>
    <row r="38" spans="1:25" x14ac:dyDescent="0.25">
      <c r="B38" s="114" t="s">
        <v>582</v>
      </c>
      <c r="C38" s="115">
        <v>44197</v>
      </c>
      <c r="D38" s="115">
        <f t="shared" ref="D38" si="10">EOMONTH(C38,0)</f>
        <v>44227</v>
      </c>
      <c r="E38" s="114">
        <v>22</v>
      </c>
      <c r="F38" s="114">
        <v>4822</v>
      </c>
      <c r="G38" s="114" t="s">
        <v>292</v>
      </c>
      <c r="H38" s="114">
        <v>515540</v>
      </c>
      <c r="I38" s="114" t="s">
        <v>586</v>
      </c>
      <c r="J38" s="114">
        <v>2054</v>
      </c>
      <c r="K38" s="114" t="s">
        <v>242</v>
      </c>
      <c r="L38" s="114">
        <v>0</v>
      </c>
      <c r="M38" s="114">
        <v>21</v>
      </c>
      <c r="N38" s="114">
        <f t="shared" ref="N38" si="11">L38+M38</f>
        <v>21</v>
      </c>
      <c r="O38" s="114">
        <v>0</v>
      </c>
      <c r="P38" s="114">
        <v>20</v>
      </c>
      <c r="Q38" s="114">
        <f t="shared" ref="Q38:Q39" si="12">O38+P38</f>
        <v>20</v>
      </c>
      <c r="R38" s="114" t="s">
        <v>235</v>
      </c>
      <c r="S38" s="116">
        <f t="shared" si="2"/>
        <v>0</v>
      </c>
      <c r="T38" s="116">
        <f t="shared" si="3"/>
        <v>3500</v>
      </c>
      <c r="U38" s="116">
        <f t="shared" ref="U38" si="13">($D$4/E38)*L38</f>
        <v>0</v>
      </c>
      <c r="V38" s="116">
        <f t="shared" ref="V38" si="14">($E$4/E38)*O38</f>
        <v>0</v>
      </c>
      <c r="W38" s="116">
        <f t="shared" ref="W38" si="15">($E$4/E38)*M38</f>
        <v>3675</v>
      </c>
      <c r="X38" s="116">
        <f t="shared" ref="X38" si="16">($E$4/E38)*P38</f>
        <v>3500</v>
      </c>
      <c r="Y38" s="116">
        <f t="shared" ref="Y38" si="17">(U38+W38)-(V38+X38)</f>
        <v>175</v>
      </c>
    </row>
    <row r="39" spans="1:25" x14ac:dyDescent="0.25">
      <c r="B39" s="114" t="s">
        <v>582</v>
      </c>
      <c r="C39" s="115">
        <v>44228</v>
      </c>
      <c r="D39" s="115">
        <f t="shared" ref="D39" si="18">EOMONTH(C39,0)</f>
        <v>44255</v>
      </c>
      <c r="E39" s="114">
        <v>20</v>
      </c>
      <c r="F39" s="114">
        <v>4822</v>
      </c>
      <c r="G39" s="114" t="s">
        <v>292</v>
      </c>
      <c r="H39" s="114">
        <v>515540</v>
      </c>
      <c r="I39" s="114" t="s">
        <v>586</v>
      </c>
      <c r="J39" s="114">
        <v>2054</v>
      </c>
      <c r="K39" s="114" t="s">
        <v>242</v>
      </c>
      <c r="L39" s="114">
        <v>0</v>
      </c>
      <c r="M39" s="114">
        <v>20</v>
      </c>
      <c r="N39" s="114">
        <f t="shared" ref="N39" si="19">L39+M39</f>
        <v>20</v>
      </c>
      <c r="O39" s="114">
        <v>0</v>
      </c>
      <c r="P39" s="114">
        <v>20</v>
      </c>
      <c r="Q39" s="114">
        <f t="shared" si="12"/>
        <v>20</v>
      </c>
      <c r="R39" s="114" t="s">
        <v>235</v>
      </c>
      <c r="S39" s="116">
        <f t="shared" si="2"/>
        <v>0</v>
      </c>
      <c r="T39" s="116">
        <f t="shared" si="3"/>
        <v>3850</v>
      </c>
      <c r="U39" s="116">
        <f t="shared" ref="U39" si="20">($D$4/E39)*L39</f>
        <v>0</v>
      </c>
      <c r="V39" s="116">
        <f t="shared" ref="V39" si="21">($E$4/E39)*O39</f>
        <v>0</v>
      </c>
      <c r="W39" s="116">
        <f t="shared" ref="W39" si="22">($E$4/E39)*M39</f>
        <v>3850</v>
      </c>
      <c r="X39" s="116">
        <f t="shared" ref="X39" si="23">($E$4/E39)*P39</f>
        <v>3850</v>
      </c>
      <c r="Y39" s="116">
        <f t="shared" ref="Y39" si="24">(U39+W39)-(V39+X39)</f>
        <v>0</v>
      </c>
    </row>
    <row r="41" spans="1:25" x14ac:dyDescent="0.25">
      <c r="B41" s="114" t="s">
        <v>583</v>
      </c>
      <c r="C41" s="115">
        <v>44197</v>
      </c>
      <c r="D41" s="115">
        <f>EOMONTH(C41,0)</f>
        <v>44227</v>
      </c>
      <c r="E41" s="114">
        <v>22</v>
      </c>
      <c r="F41" s="114">
        <v>4012</v>
      </c>
      <c r="G41" s="114" t="s">
        <v>573</v>
      </c>
      <c r="H41" s="114">
        <v>517613</v>
      </c>
      <c r="I41" s="114" t="s">
        <v>585</v>
      </c>
      <c r="J41" s="114">
        <v>2054</v>
      </c>
      <c r="K41" s="114" t="s">
        <v>242</v>
      </c>
      <c r="L41" s="114">
        <v>0</v>
      </c>
      <c r="M41" s="114">
        <v>21</v>
      </c>
      <c r="N41" s="114">
        <f>L41+M41</f>
        <v>21</v>
      </c>
      <c r="O41" s="114">
        <v>0</v>
      </c>
      <c r="P41" s="114">
        <v>21</v>
      </c>
      <c r="Q41" s="114">
        <f>O41+P41</f>
        <v>21</v>
      </c>
      <c r="R41" s="114" t="s">
        <v>235</v>
      </c>
      <c r="S41" s="116">
        <f>IF($K41="PTE",($D$4/$E41)*O41,IF($K41="PTL",(($D$5/$E41)*O41)))</f>
        <v>0</v>
      </c>
      <c r="T41" s="116">
        <f>IF($K41="PTE",($E$4/E41)*P41,IF($K41="PTL",(($E$5/E41)*P41)))</f>
        <v>3675</v>
      </c>
      <c r="U41" s="116">
        <f>($D$4/E41)*L41</f>
        <v>0</v>
      </c>
      <c r="V41" s="116">
        <f>($E$4/E41)*O41</f>
        <v>0</v>
      </c>
      <c r="W41" s="116">
        <f>($E$4/E41)*M41</f>
        <v>3675</v>
      </c>
      <c r="X41" s="116">
        <f>($E$4/E41)*P41</f>
        <v>3675</v>
      </c>
      <c r="Y41" s="116">
        <f>(U41+W41)-(V41+X41)</f>
        <v>0</v>
      </c>
    </row>
    <row r="42" spans="1:25" x14ac:dyDescent="0.25">
      <c r="B42" s="114" t="s">
        <v>583</v>
      </c>
      <c r="C42" s="115">
        <v>44228</v>
      </c>
      <c r="D42" s="115">
        <f t="shared" ref="D42" si="25">EOMONTH(C42,0)</f>
        <v>44255</v>
      </c>
      <c r="E42" s="114">
        <v>20</v>
      </c>
      <c r="F42" s="114">
        <v>4012</v>
      </c>
      <c r="G42" s="114" t="s">
        <v>573</v>
      </c>
      <c r="H42" s="114">
        <v>517613</v>
      </c>
      <c r="I42" s="114" t="s">
        <v>585</v>
      </c>
      <c r="J42" s="114">
        <v>2054</v>
      </c>
      <c r="K42" s="114" t="s">
        <v>242</v>
      </c>
      <c r="L42" s="114">
        <v>0</v>
      </c>
      <c r="M42" s="114">
        <v>20</v>
      </c>
      <c r="N42" s="114">
        <f t="shared" ref="N42" si="26">L42+M42</f>
        <v>20</v>
      </c>
      <c r="O42" s="114">
        <v>0</v>
      </c>
      <c r="P42" s="114">
        <v>19</v>
      </c>
      <c r="Q42" s="114">
        <f>O42+P42</f>
        <v>19</v>
      </c>
      <c r="R42" s="114" t="s">
        <v>235</v>
      </c>
      <c r="S42" s="116">
        <f>IF($K42="PTE",($D$4/$E42)*O42,IF($K42="PTL",(($D$5/$E42)*O42)))</f>
        <v>0</v>
      </c>
      <c r="T42" s="116">
        <f>IF($K42="PTE",($E$4/E42)*P42,IF($K42="PTL",(($E$5/E42)*P42)))</f>
        <v>3657.5</v>
      </c>
      <c r="U42" s="116">
        <f>($D$4/E42)*L42</f>
        <v>0</v>
      </c>
      <c r="V42" s="116">
        <f>($E$4/E42)*O42</f>
        <v>0</v>
      </c>
      <c r="W42" s="116">
        <f>($E$4/E42)*M42</f>
        <v>3850</v>
      </c>
      <c r="X42" s="116">
        <f>($E$4/E42)*P42</f>
        <v>3657.5</v>
      </c>
      <c r="Y42" s="116">
        <f>(U42+W42)-(V42+X42)</f>
        <v>192.5</v>
      </c>
    </row>
    <row r="43" spans="1:25" x14ac:dyDescent="0.25">
      <c r="B43" s="114" t="s">
        <v>583</v>
      </c>
      <c r="C43" s="115">
        <v>44256</v>
      </c>
      <c r="D43" s="115">
        <f t="shared" ref="D43" si="27">EOMONTH(C43,0)</f>
        <v>44286</v>
      </c>
      <c r="E43" s="114">
        <v>23</v>
      </c>
      <c r="F43" s="114">
        <v>4012</v>
      </c>
      <c r="G43" s="114" t="s">
        <v>573</v>
      </c>
      <c r="H43" s="114">
        <v>517613</v>
      </c>
      <c r="I43" s="114" t="s">
        <v>585</v>
      </c>
      <c r="J43" s="114">
        <v>2054</v>
      </c>
      <c r="K43" s="114" t="s">
        <v>242</v>
      </c>
      <c r="L43" s="114">
        <v>0</v>
      </c>
      <c r="M43" s="114">
        <v>23</v>
      </c>
      <c r="N43" s="114">
        <f t="shared" ref="N43" si="28">L43+M43</f>
        <v>23</v>
      </c>
      <c r="O43" s="114">
        <v>0</v>
      </c>
      <c r="P43" s="114">
        <v>0</v>
      </c>
      <c r="Q43" s="114">
        <f>O43+P43</f>
        <v>0</v>
      </c>
      <c r="R43" s="114" t="s">
        <v>235</v>
      </c>
      <c r="S43" s="116">
        <f>IF($K43="PTE",($D$4/$E43)*O43,IF($K43="PTL",(($D$5/$E43)*O43)))</f>
        <v>0</v>
      </c>
      <c r="T43" s="116">
        <f>IF($K43="PTE",($E$4/E43)*P43,IF($K43="PTL",(($E$5/E43)*P43)))</f>
        <v>0</v>
      </c>
      <c r="U43" s="116">
        <f>($D$4/E43)*L43</f>
        <v>0</v>
      </c>
      <c r="V43" s="116">
        <f>($E$4/E43)*O43</f>
        <v>0</v>
      </c>
      <c r="W43" s="116">
        <f>($E$4/E43)*M43</f>
        <v>3850</v>
      </c>
      <c r="X43" s="116">
        <f>($E$4/E43)*P43</f>
        <v>0</v>
      </c>
      <c r="Y43" s="116">
        <f>(U43+W43)-(V43+X43)</f>
        <v>3850</v>
      </c>
    </row>
    <row r="44" spans="1:25" x14ac:dyDescent="0.25">
      <c r="T44" s="143"/>
    </row>
    <row r="45" spans="1:25" x14ac:dyDescent="0.25">
      <c r="S45" s="143"/>
      <c r="T45" s="143"/>
    </row>
    <row r="46" spans="1:25" x14ac:dyDescent="0.25">
      <c r="S46" s="143"/>
      <c r="T46" s="143"/>
    </row>
    <row r="47" spans="1:25" x14ac:dyDescent="0.25">
      <c r="S47" s="143"/>
      <c r="T47" s="143"/>
    </row>
    <row r="48" spans="1:25" x14ac:dyDescent="0.25">
      <c r="S48" s="143"/>
      <c r="T48" s="143"/>
    </row>
    <row r="49" spans="19:20" x14ac:dyDescent="0.25">
      <c r="S49" s="143"/>
      <c r="T49" s="143"/>
    </row>
    <row r="50" spans="19:20" x14ac:dyDescent="0.25">
      <c r="S50" s="143"/>
      <c r="T50" s="143"/>
    </row>
    <row r="51" spans="19:20" x14ac:dyDescent="0.25">
      <c r="S51" s="143"/>
      <c r="T51" s="143"/>
    </row>
    <row r="52" spans="19:20" x14ac:dyDescent="0.25">
      <c r="S52" s="143"/>
      <c r="T52" s="143"/>
    </row>
    <row r="53" spans="19:20" x14ac:dyDescent="0.25">
      <c r="S53" s="143"/>
      <c r="T53" s="143"/>
    </row>
    <row r="54" spans="19:20" x14ac:dyDescent="0.25">
      <c r="S54" s="143"/>
      <c r="T54" s="143"/>
    </row>
  </sheetData>
  <mergeCells count="17">
    <mergeCell ref="B27:B28"/>
    <mergeCell ref="C27:C28"/>
    <mergeCell ref="E27:E28"/>
    <mergeCell ref="F27:F28"/>
    <mergeCell ref="G27:G28"/>
    <mergeCell ref="C2:E2"/>
    <mergeCell ref="K27:K28"/>
    <mergeCell ref="J27:J28"/>
    <mergeCell ref="H27:H28"/>
    <mergeCell ref="I27:I28"/>
    <mergeCell ref="C7:E7"/>
    <mergeCell ref="C17:E17"/>
    <mergeCell ref="U27:Y27"/>
    <mergeCell ref="L27:N27"/>
    <mergeCell ref="O27:Q27"/>
    <mergeCell ref="R27:T27"/>
    <mergeCell ref="D27:D28"/>
  </mergeCells>
  <dataValidations count="4">
    <dataValidation type="list" allowBlank="1" showInputMessage="1" showErrorMessage="1" sqref="C29:C37">
      <formula1>"Jan-2020, Feb-2020, Mar-2020, Apr-2020, May-2020, Jun-2020, Jul-2020, Aug-2020, Sep-2020, Oct-2020, Nov-2020, Dec-2020"</formula1>
    </dataValidation>
    <dataValidation type="list" allowBlank="1" showInputMessage="1" showErrorMessage="1" sqref="K29:K39 K41:K43 C4:C5">
      <formula1>"PTE, PTL, PTM"</formula1>
    </dataValidation>
    <dataValidation type="list" allowBlank="1" showInputMessage="1" showErrorMessage="1" sqref="R29:R39 R41:R43">
      <formula1>"USD, OMR"</formula1>
    </dataValidation>
    <dataValidation type="list" allowBlank="1" showInputMessage="1" showErrorMessage="1" sqref="C38:C39 C41:C43">
      <formula1>"Jan-2021, Feb-2021, Mar-2021, Apr-2021, May-2021, Jun-2021, Jul-2021, Aug-2021, Sep-2021, Oct-2021, Nov-2021, Dec-2021"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7030A0"/>
    <pageSetUpPr fitToPage="1"/>
  </sheetPr>
  <dimension ref="A1:CZ102"/>
  <sheetViews>
    <sheetView showGridLines="0" tabSelected="1" topLeftCell="A34" zoomScale="82" zoomScaleNormal="82" workbookViewId="0">
      <pane xSplit="8" topLeftCell="BE1" activePane="topRight" state="frozen"/>
      <selection pane="topRight" activeCell="C45" sqref="C45"/>
    </sheetView>
  </sheetViews>
  <sheetFormatPr defaultColWidth="3.140625" defaultRowHeight="30" customHeight="1" x14ac:dyDescent="0.3"/>
  <cols>
    <col min="1" max="1" width="3" style="150" customWidth="1"/>
    <col min="2" max="2" width="65.42578125" style="168" bestFit="1" customWidth="1"/>
    <col min="3" max="3" width="11.5703125" style="166" customWidth="1"/>
    <col min="4" max="4" width="10.5703125" style="166" customWidth="1"/>
    <col min="5" max="5" width="9.140625" style="166" customWidth="1"/>
    <col min="6" max="7" width="10.42578125" style="166" customWidth="1"/>
    <col min="8" max="8" width="16.85546875" style="169" customWidth="1"/>
    <col min="9" max="9" width="7.28515625" style="166" bestFit="1" customWidth="1"/>
    <col min="10" max="10" width="8" style="166" bestFit="1" customWidth="1"/>
    <col min="11" max="28" width="7.28515625" style="166" bestFit="1" customWidth="1"/>
    <col min="29" max="29" width="8" style="167" bestFit="1" customWidth="1"/>
    <col min="30" max="39" width="7.28515625" style="167" bestFit="1" customWidth="1"/>
    <col min="40" max="52" width="6.85546875" style="167" bestFit="1" customWidth="1"/>
    <col min="53" max="57" width="6.42578125" style="150" bestFit="1" customWidth="1"/>
    <col min="58" max="61" width="6.7109375" style="150" bestFit="1" customWidth="1"/>
    <col min="62" max="65" width="7.140625" style="150" bestFit="1" customWidth="1"/>
    <col min="66" max="69" width="6.7109375" style="150" bestFit="1" customWidth="1"/>
    <col min="70" max="74" width="7.28515625" style="150" bestFit="1" customWidth="1"/>
    <col min="75" max="78" width="6.5703125" style="150" bestFit="1" customWidth="1"/>
    <col min="79" max="82" width="6" style="150" bestFit="1" customWidth="1"/>
    <col min="83" max="87" width="7" style="150" bestFit="1" customWidth="1"/>
    <col min="88" max="91" width="6.7109375" style="150" bestFit="1" customWidth="1"/>
    <col min="92" max="96" width="6.5703125" style="150" bestFit="1" customWidth="1"/>
    <col min="97" max="104" width="7" style="150" bestFit="1" customWidth="1"/>
    <col min="105" max="16384" width="3.140625" style="150"/>
  </cols>
  <sheetData>
    <row r="1" spans="1:104" ht="60" customHeight="1" thickBot="1" x14ac:dyDescent="0.3">
      <c r="A1" s="269" t="s">
        <v>296</v>
      </c>
      <c r="B1" s="269"/>
      <c r="C1" s="269"/>
      <c r="D1" s="269"/>
      <c r="E1" s="269"/>
      <c r="F1" s="269"/>
      <c r="G1" s="269"/>
      <c r="H1" s="26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</row>
    <row r="2" spans="1:104" ht="21" customHeight="1" thickTop="1" thickBot="1" x14ac:dyDescent="0.3">
      <c r="B2" s="188" t="s">
        <v>297</v>
      </c>
      <c r="C2" s="170"/>
      <c r="D2" s="170"/>
      <c r="E2" s="170"/>
      <c r="F2" s="170"/>
      <c r="G2" s="170"/>
      <c r="H2" s="189">
        <v>40</v>
      </c>
      <c r="I2" s="150"/>
      <c r="J2" s="149"/>
      <c r="K2" s="152"/>
      <c r="L2" s="270" t="s">
        <v>298</v>
      </c>
      <c r="M2" s="271"/>
      <c r="N2" s="153"/>
      <c r="O2" s="154" t="s">
        <v>299</v>
      </c>
      <c r="P2" s="155"/>
      <c r="Q2" s="156"/>
      <c r="R2" s="157" t="s">
        <v>335</v>
      </c>
      <c r="S2" s="158"/>
      <c r="T2" s="159"/>
      <c r="U2" s="157" t="s">
        <v>336</v>
      </c>
      <c r="V2" s="160"/>
      <c r="W2" s="158"/>
      <c r="X2" s="161"/>
      <c r="Y2" s="157" t="s">
        <v>337</v>
      </c>
      <c r="Z2" s="160"/>
      <c r="AA2" s="160"/>
      <c r="AB2" s="160"/>
      <c r="AC2" s="160"/>
      <c r="AD2" s="160"/>
      <c r="AE2" s="160"/>
      <c r="AF2" s="16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</row>
    <row r="3" spans="1:104" ht="21" customHeight="1" thickTop="1" x14ac:dyDescent="0.25">
      <c r="B3" s="151"/>
      <c r="C3" s="151"/>
      <c r="D3" s="151"/>
      <c r="E3" s="151"/>
      <c r="F3" s="151"/>
      <c r="G3" s="151"/>
      <c r="H3" s="162"/>
      <c r="I3" s="275" t="s">
        <v>563</v>
      </c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68"/>
      <c r="BB3" s="268"/>
      <c r="BC3" s="268"/>
      <c r="BD3" s="268"/>
      <c r="BE3" s="268"/>
      <c r="BF3" s="268"/>
      <c r="BG3" s="268"/>
      <c r="BH3" s="268"/>
      <c r="BI3" s="268"/>
      <c r="BJ3" s="268"/>
      <c r="BK3" s="268"/>
      <c r="BL3" s="268"/>
      <c r="BM3" s="268"/>
      <c r="BN3" s="268"/>
      <c r="BO3" s="268"/>
      <c r="BP3" s="268"/>
      <c r="BQ3" s="268"/>
      <c r="BR3" s="268"/>
      <c r="BS3" s="268"/>
      <c r="BT3" s="268"/>
      <c r="BU3" s="268"/>
      <c r="BV3" s="268"/>
      <c r="BW3" s="268"/>
      <c r="BX3" s="268"/>
      <c r="BY3" s="268"/>
      <c r="BZ3" s="268"/>
      <c r="CA3" s="268"/>
      <c r="CB3" s="268"/>
      <c r="CC3" s="268"/>
      <c r="CD3" s="268"/>
      <c r="CE3" s="268"/>
      <c r="CF3" s="268"/>
      <c r="CG3" s="268"/>
      <c r="CH3" s="268"/>
      <c r="CI3" s="268"/>
      <c r="CJ3" s="268"/>
      <c r="CK3" s="268"/>
      <c r="CL3" s="268"/>
      <c r="CM3" s="268"/>
      <c r="CN3" s="268"/>
      <c r="CO3" s="268"/>
      <c r="CP3" s="268"/>
      <c r="CQ3" s="268"/>
      <c r="CR3" s="268"/>
      <c r="CS3" s="268"/>
      <c r="CT3" s="268"/>
      <c r="CU3" s="268"/>
      <c r="CV3" s="268"/>
      <c r="CW3" s="268"/>
      <c r="CX3" s="268"/>
      <c r="CY3" s="268"/>
      <c r="CZ3" s="268"/>
    </row>
    <row r="4" spans="1:104" s="164" customFormat="1" ht="17.25" customHeight="1" x14ac:dyDescent="0.2">
      <c r="B4" s="272" t="s">
        <v>300</v>
      </c>
      <c r="C4" s="273" t="s">
        <v>301</v>
      </c>
      <c r="D4" s="273" t="s">
        <v>302</v>
      </c>
      <c r="E4" s="273" t="s">
        <v>303</v>
      </c>
      <c r="F4" s="273" t="s">
        <v>304</v>
      </c>
      <c r="G4" s="273" t="s">
        <v>378</v>
      </c>
      <c r="H4" s="274" t="s">
        <v>305</v>
      </c>
      <c r="I4" s="163">
        <v>43891</v>
      </c>
      <c r="J4" s="163">
        <f>WORKDAY.INTL(I4,5,7)</f>
        <v>43898</v>
      </c>
      <c r="K4" s="163">
        <f t="shared" ref="K4:BA4" si="0">WORKDAY.INTL(J4,5,7)</f>
        <v>43905</v>
      </c>
      <c r="L4" s="163">
        <f t="shared" si="0"/>
        <v>43912</v>
      </c>
      <c r="M4" s="163">
        <f t="shared" si="0"/>
        <v>43919</v>
      </c>
      <c r="N4" s="163">
        <f t="shared" si="0"/>
        <v>43926</v>
      </c>
      <c r="O4" s="163">
        <f t="shared" si="0"/>
        <v>43933</v>
      </c>
      <c r="P4" s="163">
        <f t="shared" si="0"/>
        <v>43940</v>
      </c>
      <c r="Q4" s="163">
        <f t="shared" si="0"/>
        <v>43947</v>
      </c>
      <c r="R4" s="163">
        <f t="shared" si="0"/>
        <v>43954</v>
      </c>
      <c r="S4" s="163">
        <f t="shared" si="0"/>
        <v>43961</v>
      </c>
      <c r="T4" s="163">
        <f t="shared" si="0"/>
        <v>43968</v>
      </c>
      <c r="U4" s="163">
        <f t="shared" si="0"/>
        <v>43975</v>
      </c>
      <c r="V4" s="163">
        <f t="shared" si="0"/>
        <v>43982</v>
      </c>
      <c r="W4" s="163">
        <f t="shared" si="0"/>
        <v>43989</v>
      </c>
      <c r="X4" s="163">
        <f t="shared" si="0"/>
        <v>43996</v>
      </c>
      <c r="Y4" s="163">
        <f t="shared" si="0"/>
        <v>44003</v>
      </c>
      <c r="Z4" s="163">
        <f t="shared" si="0"/>
        <v>44010</v>
      </c>
      <c r="AA4" s="163">
        <f t="shared" si="0"/>
        <v>44017</v>
      </c>
      <c r="AB4" s="163">
        <f t="shared" si="0"/>
        <v>44024</v>
      </c>
      <c r="AC4" s="163">
        <f>WORKDAY.INTL(AB4,5,7)</f>
        <v>44031</v>
      </c>
      <c r="AD4" s="163">
        <f t="shared" si="0"/>
        <v>44038</v>
      </c>
      <c r="AE4" s="163">
        <f t="shared" si="0"/>
        <v>44045</v>
      </c>
      <c r="AF4" s="163">
        <f t="shared" si="0"/>
        <v>44052</v>
      </c>
      <c r="AG4" s="163">
        <f t="shared" si="0"/>
        <v>44059</v>
      </c>
      <c r="AH4" s="163">
        <f t="shared" si="0"/>
        <v>44066</v>
      </c>
      <c r="AI4" s="163">
        <f t="shared" si="0"/>
        <v>44073</v>
      </c>
      <c r="AJ4" s="163">
        <f t="shared" si="0"/>
        <v>44080</v>
      </c>
      <c r="AK4" s="163">
        <f t="shared" si="0"/>
        <v>44087</v>
      </c>
      <c r="AL4" s="163">
        <f t="shared" si="0"/>
        <v>44094</v>
      </c>
      <c r="AM4" s="163">
        <f t="shared" si="0"/>
        <v>44101</v>
      </c>
      <c r="AN4" s="163">
        <f t="shared" si="0"/>
        <v>44108</v>
      </c>
      <c r="AO4" s="163">
        <f t="shared" si="0"/>
        <v>44115</v>
      </c>
      <c r="AP4" s="163">
        <f t="shared" si="0"/>
        <v>44122</v>
      </c>
      <c r="AQ4" s="163">
        <f t="shared" si="0"/>
        <v>44129</v>
      </c>
      <c r="AR4" s="163">
        <f t="shared" si="0"/>
        <v>44136</v>
      </c>
      <c r="AS4" s="163">
        <f t="shared" si="0"/>
        <v>44143</v>
      </c>
      <c r="AT4" s="163">
        <f t="shared" si="0"/>
        <v>44150</v>
      </c>
      <c r="AU4" s="163">
        <f t="shared" si="0"/>
        <v>44157</v>
      </c>
      <c r="AV4" s="163">
        <f t="shared" si="0"/>
        <v>44164</v>
      </c>
      <c r="AW4" s="163">
        <f t="shared" si="0"/>
        <v>44171</v>
      </c>
      <c r="AX4" s="163">
        <f t="shared" si="0"/>
        <v>44178</v>
      </c>
      <c r="AY4" s="163">
        <f t="shared" si="0"/>
        <v>44185</v>
      </c>
      <c r="AZ4" s="163">
        <f t="shared" si="0"/>
        <v>44192</v>
      </c>
      <c r="BA4" s="163">
        <f t="shared" si="0"/>
        <v>44199</v>
      </c>
      <c r="BB4" s="163">
        <f t="shared" ref="BB4" si="1">WORKDAY.INTL(BA4,5,7)</f>
        <v>44206</v>
      </c>
      <c r="BC4" s="163">
        <f t="shared" ref="BC4" si="2">WORKDAY.INTL(BB4,5,7)</f>
        <v>44213</v>
      </c>
      <c r="BD4" s="163">
        <f t="shared" ref="BD4" si="3">WORKDAY.INTL(BC4,5,7)</f>
        <v>44220</v>
      </c>
      <c r="BE4" s="163">
        <f t="shared" ref="BE4" si="4">WORKDAY.INTL(BD4,5,7)</f>
        <v>44227</v>
      </c>
      <c r="BF4" s="163">
        <f t="shared" ref="BF4" si="5">WORKDAY.INTL(BE4,5,7)</f>
        <v>44234</v>
      </c>
      <c r="BG4" s="163">
        <f t="shared" ref="BG4" si="6">WORKDAY.INTL(BF4,5,7)</f>
        <v>44241</v>
      </c>
      <c r="BH4" s="163">
        <f t="shared" ref="BH4" si="7">WORKDAY.INTL(BG4,5,7)</f>
        <v>44248</v>
      </c>
      <c r="BI4" s="163">
        <f t="shared" ref="BI4" si="8">WORKDAY.INTL(BH4,5,7)</f>
        <v>44255</v>
      </c>
      <c r="BJ4" s="163">
        <f t="shared" ref="BJ4" si="9">WORKDAY.INTL(BI4,5,7)</f>
        <v>44262</v>
      </c>
      <c r="BK4" s="163">
        <f t="shared" ref="BK4" si="10">WORKDAY.INTL(BJ4,5,7)</f>
        <v>44269</v>
      </c>
      <c r="BL4" s="163">
        <f t="shared" ref="BL4" si="11">WORKDAY.INTL(BK4,5,7)</f>
        <v>44276</v>
      </c>
      <c r="BM4" s="163">
        <f t="shared" ref="BM4" si="12">WORKDAY.INTL(BL4,5,7)</f>
        <v>44283</v>
      </c>
      <c r="BN4" s="163">
        <f t="shared" ref="BN4" si="13">WORKDAY.INTL(BM4,5,7)</f>
        <v>44290</v>
      </c>
      <c r="BO4" s="163">
        <f t="shared" ref="BO4" si="14">WORKDAY.INTL(BN4,5,7)</f>
        <v>44297</v>
      </c>
      <c r="BP4" s="163">
        <f t="shared" ref="BP4" si="15">WORKDAY.INTL(BO4,5,7)</f>
        <v>44304</v>
      </c>
      <c r="BQ4" s="163">
        <f t="shared" ref="BQ4" si="16">WORKDAY.INTL(BP4,5,7)</f>
        <v>44311</v>
      </c>
      <c r="BR4" s="163">
        <f t="shared" ref="BR4" si="17">WORKDAY.INTL(BQ4,5,7)</f>
        <v>44318</v>
      </c>
      <c r="BS4" s="163">
        <f t="shared" ref="BS4" si="18">WORKDAY.INTL(BR4,5,7)</f>
        <v>44325</v>
      </c>
      <c r="BT4" s="163">
        <f t="shared" ref="BT4" si="19">WORKDAY.INTL(BS4,5,7)</f>
        <v>44332</v>
      </c>
      <c r="BU4" s="163">
        <f t="shared" ref="BU4" si="20">WORKDAY.INTL(BT4,5,7)</f>
        <v>44339</v>
      </c>
      <c r="BV4" s="163">
        <f t="shared" ref="BV4" si="21">WORKDAY.INTL(BU4,5,7)</f>
        <v>44346</v>
      </c>
      <c r="BW4" s="163">
        <f t="shared" ref="BW4" si="22">WORKDAY.INTL(BV4,5,7)</f>
        <v>44353</v>
      </c>
      <c r="BX4" s="163">
        <f t="shared" ref="BX4" si="23">WORKDAY.INTL(BW4,5,7)</f>
        <v>44360</v>
      </c>
      <c r="BY4" s="163">
        <f t="shared" ref="BY4" si="24">WORKDAY.INTL(BX4,5,7)</f>
        <v>44367</v>
      </c>
      <c r="BZ4" s="163">
        <f t="shared" ref="BZ4" si="25">WORKDAY.INTL(BY4,5,7)</f>
        <v>44374</v>
      </c>
      <c r="CA4" s="163">
        <f t="shared" ref="CA4" si="26">WORKDAY.INTL(BZ4,5,7)</f>
        <v>44381</v>
      </c>
      <c r="CB4" s="163">
        <f t="shared" ref="CB4" si="27">WORKDAY.INTL(CA4,5,7)</f>
        <v>44388</v>
      </c>
      <c r="CC4" s="163">
        <f t="shared" ref="CC4" si="28">WORKDAY.INTL(CB4,5,7)</f>
        <v>44395</v>
      </c>
      <c r="CD4" s="163">
        <f t="shared" ref="CD4" si="29">WORKDAY.INTL(CC4,5,7)</f>
        <v>44402</v>
      </c>
      <c r="CE4" s="163">
        <f t="shared" ref="CE4" si="30">WORKDAY.INTL(CD4,5,7)</f>
        <v>44409</v>
      </c>
      <c r="CF4" s="163">
        <f t="shared" ref="CF4" si="31">WORKDAY.INTL(CE4,5,7)</f>
        <v>44416</v>
      </c>
      <c r="CG4" s="163">
        <f t="shared" ref="CG4" si="32">WORKDAY.INTL(CF4,5,7)</f>
        <v>44423</v>
      </c>
      <c r="CH4" s="163">
        <f t="shared" ref="CH4" si="33">WORKDAY.INTL(CG4,5,7)</f>
        <v>44430</v>
      </c>
      <c r="CI4" s="163">
        <f t="shared" ref="CI4" si="34">WORKDAY.INTL(CH4,5,7)</f>
        <v>44437</v>
      </c>
      <c r="CJ4" s="163">
        <f t="shared" ref="CJ4" si="35">WORKDAY.INTL(CI4,5,7)</f>
        <v>44444</v>
      </c>
      <c r="CK4" s="163">
        <f t="shared" ref="CK4" si="36">WORKDAY.INTL(CJ4,5,7)</f>
        <v>44451</v>
      </c>
      <c r="CL4" s="163">
        <f t="shared" ref="CL4" si="37">WORKDAY.INTL(CK4,5,7)</f>
        <v>44458</v>
      </c>
      <c r="CM4" s="163">
        <f t="shared" ref="CM4" si="38">WORKDAY.INTL(CL4,5,7)</f>
        <v>44465</v>
      </c>
      <c r="CN4" s="163">
        <f t="shared" ref="CN4" si="39">WORKDAY.INTL(CM4,5,7)</f>
        <v>44472</v>
      </c>
      <c r="CO4" s="163">
        <f t="shared" ref="CO4" si="40">WORKDAY.INTL(CN4,5,7)</f>
        <v>44479</v>
      </c>
      <c r="CP4" s="163">
        <f t="shared" ref="CP4" si="41">WORKDAY.INTL(CO4,5,7)</f>
        <v>44486</v>
      </c>
      <c r="CQ4" s="163">
        <f t="shared" ref="CQ4" si="42">WORKDAY.INTL(CP4,5,7)</f>
        <v>44493</v>
      </c>
      <c r="CR4" s="163">
        <f t="shared" ref="CR4" si="43">WORKDAY.INTL(CQ4,5,7)</f>
        <v>44500</v>
      </c>
      <c r="CS4" s="163">
        <f t="shared" ref="CS4" si="44">WORKDAY.INTL(CR4,5,7)</f>
        <v>44507</v>
      </c>
      <c r="CT4" s="163">
        <f t="shared" ref="CT4" si="45">WORKDAY.INTL(CS4,5,7)</f>
        <v>44514</v>
      </c>
      <c r="CU4" s="163">
        <f t="shared" ref="CU4" si="46">WORKDAY.INTL(CT4,5,7)</f>
        <v>44521</v>
      </c>
      <c r="CV4" s="163">
        <f t="shared" ref="CV4" si="47">WORKDAY.INTL(CU4,5,7)</f>
        <v>44528</v>
      </c>
      <c r="CW4" s="163">
        <f t="shared" ref="CW4" si="48">WORKDAY.INTL(CV4,5,7)</f>
        <v>44535</v>
      </c>
      <c r="CX4" s="163">
        <f t="shared" ref="CX4" si="49">WORKDAY.INTL(CW4,5,7)</f>
        <v>44542</v>
      </c>
      <c r="CY4" s="163">
        <f t="shared" ref="CY4" si="50">WORKDAY.INTL(CX4,5,7)</f>
        <v>44549</v>
      </c>
      <c r="CZ4" s="163">
        <f t="shared" ref="CZ4" si="51">WORKDAY.INTL(CY4,5,7)</f>
        <v>44556</v>
      </c>
    </row>
    <row r="5" spans="1:104" ht="15.75" customHeight="1" x14ac:dyDescent="0.2">
      <c r="B5" s="272"/>
      <c r="C5" s="273"/>
      <c r="D5" s="273"/>
      <c r="E5" s="273"/>
      <c r="F5" s="273"/>
      <c r="G5" s="273"/>
      <c r="H5" s="274"/>
      <c r="I5" s="165">
        <v>1</v>
      </c>
      <c r="J5" s="165">
        <v>2</v>
      </c>
      <c r="K5" s="165">
        <v>3</v>
      </c>
      <c r="L5" s="165">
        <v>4</v>
      </c>
      <c r="M5" s="165">
        <v>5</v>
      </c>
      <c r="N5" s="165">
        <v>6</v>
      </c>
      <c r="O5" s="165">
        <v>7</v>
      </c>
      <c r="P5" s="165">
        <v>8</v>
      </c>
      <c r="Q5" s="165">
        <v>9</v>
      </c>
      <c r="R5" s="165">
        <v>10</v>
      </c>
      <c r="S5" s="165">
        <v>11</v>
      </c>
      <c r="T5" s="165">
        <v>12</v>
      </c>
      <c r="U5" s="165">
        <v>13</v>
      </c>
      <c r="V5" s="165">
        <v>14</v>
      </c>
      <c r="W5" s="165">
        <v>15</v>
      </c>
      <c r="X5" s="165">
        <v>16</v>
      </c>
      <c r="Y5" s="165">
        <v>17</v>
      </c>
      <c r="Z5" s="165">
        <v>18</v>
      </c>
      <c r="AA5" s="165">
        <v>19</v>
      </c>
      <c r="AB5" s="165">
        <v>20</v>
      </c>
      <c r="AC5" s="165">
        <v>21</v>
      </c>
      <c r="AD5" s="165">
        <v>22</v>
      </c>
      <c r="AE5" s="165">
        <v>23</v>
      </c>
      <c r="AF5" s="165">
        <v>24</v>
      </c>
      <c r="AG5" s="165">
        <v>25</v>
      </c>
      <c r="AH5" s="165">
        <v>26</v>
      </c>
      <c r="AI5" s="165">
        <v>27</v>
      </c>
      <c r="AJ5" s="165">
        <v>28</v>
      </c>
      <c r="AK5" s="165">
        <v>29</v>
      </c>
      <c r="AL5" s="165">
        <v>30</v>
      </c>
      <c r="AM5" s="165">
        <v>31</v>
      </c>
      <c r="AN5" s="165">
        <v>32</v>
      </c>
      <c r="AO5" s="165">
        <v>33</v>
      </c>
      <c r="AP5" s="165">
        <v>34</v>
      </c>
      <c r="AQ5" s="165">
        <v>35</v>
      </c>
      <c r="AR5" s="165">
        <v>36</v>
      </c>
      <c r="AS5" s="165">
        <v>37</v>
      </c>
      <c r="AT5" s="165">
        <v>38</v>
      </c>
      <c r="AU5" s="165">
        <v>39</v>
      </c>
      <c r="AV5" s="165">
        <v>40</v>
      </c>
      <c r="AW5" s="165">
        <v>41</v>
      </c>
      <c r="AX5" s="165">
        <v>42</v>
      </c>
      <c r="AY5" s="165">
        <v>43</v>
      </c>
      <c r="AZ5" s="165">
        <v>44</v>
      </c>
      <c r="BA5" s="165">
        <v>45</v>
      </c>
      <c r="BB5" s="165">
        <v>46</v>
      </c>
      <c r="BC5" s="165">
        <v>47</v>
      </c>
      <c r="BD5" s="165">
        <v>48</v>
      </c>
      <c r="BE5" s="165">
        <v>49</v>
      </c>
      <c r="BF5" s="165">
        <v>50</v>
      </c>
      <c r="BG5" s="165">
        <v>51</v>
      </c>
      <c r="BH5" s="165">
        <v>52</v>
      </c>
      <c r="BI5" s="165">
        <v>53</v>
      </c>
      <c r="BJ5" s="165">
        <v>54</v>
      </c>
      <c r="BK5" s="165">
        <v>55</v>
      </c>
      <c r="BL5" s="165">
        <v>56</v>
      </c>
      <c r="BM5" s="165">
        <v>57</v>
      </c>
      <c r="BN5" s="165">
        <v>58</v>
      </c>
      <c r="BO5" s="165">
        <v>59</v>
      </c>
      <c r="BP5" s="165">
        <v>60</v>
      </c>
      <c r="BQ5" s="165">
        <v>61</v>
      </c>
      <c r="BR5" s="165">
        <v>62</v>
      </c>
      <c r="BS5" s="165">
        <v>63</v>
      </c>
      <c r="BT5" s="165">
        <v>64</v>
      </c>
      <c r="BU5" s="165">
        <v>65</v>
      </c>
      <c r="BV5" s="165">
        <v>66</v>
      </c>
      <c r="BW5" s="165">
        <v>67</v>
      </c>
      <c r="BX5" s="165">
        <v>68</v>
      </c>
      <c r="BY5" s="165">
        <v>69</v>
      </c>
      <c r="BZ5" s="165">
        <v>70</v>
      </c>
      <c r="CA5" s="165">
        <v>71</v>
      </c>
      <c r="CB5" s="165">
        <v>72</v>
      </c>
      <c r="CC5" s="165">
        <v>73</v>
      </c>
      <c r="CD5" s="165">
        <v>74</v>
      </c>
      <c r="CE5" s="165">
        <v>75</v>
      </c>
      <c r="CF5" s="165">
        <v>76</v>
      </c>
      <c r="CG5" s="165">
        <v>77</v>
      </c>
      <c r="CH5" s="165">
        <v>78</v>
      </c>
      <c r="CI5" s="165">
        <v>79</v>
      </c>
      <c r="CJ5" s="165">
        <v>80</v>
      </c>
      <c r="CK5" s="165">
        <v>81</v>
      </c>
      <c r="CL5" s="165">
        <v>82</v>
      </c>
      <c r="CM5" s="165">
        <v>83</v>
      </c>
      <c r="CN5" s="165">
        <v>84</v>
      </c>
      <c r="CO5" s="165">
        <v>85</v>
      </c>
      <c r="CP5" s="165">
        <v>86</v>
      </c>
      <c r="CQ5" s="165">
        <v>87</v>
      </c>
      <c r="CR5" s="165">
        <v>88</v>
      </c>
      <c r="CS5" s="165">
        <v>89</v>
      </c>
      <c r="CT5" s="165">
        <v>90</v>
      </c>
      <c r="CU5" s="165">
        <v>91</v>
      </c>
      <c r="CV5" s="165">
        <v>92</v>
      </c>
      <c r="CW5" s="165">
        <v>93</v>
      </c>
      <c r="CX5" s="165">
        <v>94</v>
      </c>
      <c r="CY5" s="165">
        <v>95</v>
      </c>
      <c r="CZ5" s="165">
        <v>95</v>
      </c>
    </row>
    <row r="6" spans="1:104" s="229" customFormat="1" ht="15.75" customHeight="1" x14ac:dyDescent="0.2">
      <c r="B6" s="183" t="s">
        <v>568</v>
      </c>
      <c r="C6" s="214">
        <f>C7</f>
        <v>38</v>
      </c>
      <c r="D6" s="223">
        <f>D7</f>
        <v>0.99</v>
      </c>
      <c r="E6" s="214">
        <v>38</v>
      </c>
      <c r="F6" s="214">
        <f>F7</f>
        <v>24</v>
      </c>
      <c r="G6" s="226">
        <f>(F6-D6)/D6</f>
        <v>23.242424242424246</v>
      </c>
      <c r="H6" s="215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  <c r="CA6" s="166"/>
      <c r="CB6" s="166"/>
      <c r="CC6" s="166"/>
      <c r="CD6" s="166"/>
      <c r="CE6" s="166"/>
      <c r="CF6" s="166"/>
      <c r="CG6" s="166"/>
      <c r="CH6" s="166"/>
      <c r="CI6" s="166"/>
      <c r="CJ6" s="166"/>
      <c r="CK6" s="166"/>
      <c r="CL6" s="166"/>
      <c r="CM6" s="166"/>
      <c r="CN6" s="166"/>
      <c r="CO6" s="166"/>
      <c r="CP6" s="166"/>
      <c r="CQ6" s="166"/>
      <c r="CR6" s="166"/>
      <c r="CS6" s="166"/>
      <c r="CT6" s="166"/>
      <c r="CU6" s="166"/>
      <c r="CV6" s="166"/>
      <c r="CW6" s="166"/>
      <c r="CX6" s="166"/>
      <c r="CY6" s="166"/>
      <c r="CZ6" s="166"/>
    </row>
    <row r="7" spans="1:104" s="229" customFormat="1" ht="15" customHeight="1" x14ac:dyDescent="0.25">
      <c r="B7" s="184" t="s">
        <v>308</v>
      </c>
      <c r="C7" s="216">
        <v>38</v>
      </c>
      <c r="D7" s="216">
        <f>SUM(D8:D10)</f>
        <v>0.99</v>
      </c>
      <c r="E7" s="216">
        <v>38</v>
      </c>
      <c r="F7" s="216">
        <f>SUM(F8:F10)</f>
        <v>24</v>
      </c>
      <c r="G7" s="216">
        <f t="shared" ref="G7:G10" si="52">F7-D7</f>
        <v>23.01</v>
      </c>
      <c r="H7" s="187">
        <v>0.35</v>
      </c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  <c r="CA7" s="166"/>
      <c r="CB7" s="166"/>
      <c r="CC7" s="166"/>
      <c r="CD7" s="166"/>
      <c r="CE7" s="166"/>
      <c r="CF7" s="166"/>
      <c r="CG7" s="166"/>
      <c r="CH7" s="166"/>
      <c r="CI7" s="166"/>
      <c r="CJ7" s="166"/>
      <c r="CK7" s="166"/>
      <c r="CL7" s="166"/>
      <c r="CM7" s="166"/>
      <c r="CN7" s="166"/>
      <c r="CO7" s="166"/>
      <c r="CP7" s="166"/>
      <c r="CQ7" s="166"/>
      <c r="CR7" s="166"/>
      <c r="CS7" s="166"/>
      <c r="CT7" s="166"/>
      <c r="CU7" s="166"/>
      <c r="CV7" s="166"/>
      <c r="CW7" s="166"/>
      <c r="CX7" s="166"/>
      <c r="CY7" s="166"/>
      <c r="CZ7" s="166"/>
    </row>
    <row r="8" spans="1:104" s="229" customFormat="1" ht="15" customHeight="1" x14ac:dyDescent="0.25">
      <c r="B8" s="185" t="s">
        <v>312</v>
      </c>
      <c r="C8" s="216">
        <v>38</v>
      </c>
      <c r="D8" s="216">
        <v>0.33</v>
      </c>
      <c r="E8" s="216">
        <v>38</v>
      </c>
      <c r="F8" s="216">
        <v>24</v>
      </c>
      <c r="G8" s="216">
        <f t="shared" si="52"/>
        <v>23.67</v>
      </c>
      <c r="H8" s="187">
        <v>0.5</v>
      </c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  <c r="CA8" s="166"/>
      <c r="CB8" s="166"/>
      <c r="CC8" s="166"/>
      <c r="CD8" s="166"/>
      <c r="CE8" s="166"/>
      <c r="CF8" s="166"/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66"/>
      <c r="CR8" s="166"/>
      <c r="CS8" s="166"/>
      <c r="CT8" s="166"/>
      <c r="CU8" s="166"/>
      <c r="CV8" s="166"/>
      <c r="CW8" s="166"/>
      <c r="CX8" s="166"/>
      <c r="CY8" s="166"/>
      <c r="CZ8" s="166"/>
    </row>
    <row r="9" spans="1:104" s="229" customFormat="1" ht="15" customHeight="1" x14ac:dyDescent="0.25">
      <c r="B9" s="185" t="s">
        <v>314</v>
      </c>
      <c r="C9" s="216">
        <v>39</v>
      </c>
      <c r="D9" s="216">
        <v>0.33</v>
      </c>
      <c r="E9" s="216">
        <v>0</v>
      </c>
      <c r="F9" s="216">
        <v>0</v>
      </c>
      <c r="G9" s="216">
        <f t="shared" si="52"/>
        <v>-0.33</v>
      </c>
      <c r="H9" s="187">
        <v>0</v>
      </c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6"/>
      <c r="CH9" s="166"/>
      <c r="CI9" s="166"/>
      <c r="CJ9" s="166"/>
      <c r="CK9" s="166"/>
      <c r="CL9" s="166"/>
      <c r="CM9" s="166"/>
      <c r="CN9" s="166"/>
      <c r="CO9" s="166"/>
      <c r="CP9" s="166"/>
      <c r="CQ9" s="166"/>
      <c r="CR9" s="166"/>
      <c r="CS9" s="166"/>
      <c r="CT9" s="166"/>
      <c r="CU9" s="166"/>
      <c r="CV9" s="166"/>
      <c r="CW9" s="166"/>
      <c r="CX9" s="166"/>
      <c r="CY9" s="166"/>
      <c r="CZ9" s="166"/>
    </row>
    <row r="10" spans="1:104" s="229" customFormat="1" ht="15" customHeight="1" x14ac:dyDescent="0.25">
      <c r="B10" s="185" t="s">
        <v>313</v>
      </c>
      <c r="C10" s="216">
        <v>39</v>
      </c>
      <c r="D10" s="216">
        <v>0.33</v>
      </c>
      <c r="E10" s="216">
        <v>0</v>
      </c>
      <c r="F10" s="216">
        <v>0</v>
      </c>
      <c r="G10" s="216">
        <f t="shared" si="52"/>
        <v>-0.33</v>
      </c>
      <c r="H10" s="187">
        <v>0</v>
      </c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  <c r="CA10" s="166"/>
      <c r="CB10" s="166"/>
      <c r="CC10" s="166"/>
      <c r="CD10" s="166"/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166"/>
      <c r="CR10" s="166"/>
      <c r="CS10" s="166"/>
      <c r="CT10" s="166"/>
      <c r="CU10" s="166"/>
      <c r="CV10" s="166"/>
      <c r="CW10" s="166"/>
      <c r="CX10" s="166"/>
      <c r="CY10" s="166"/>
      <c r="CZ10" s="166"/>
    </row>
    <row r="11" spans="1:104" ht="15.75" customHeight="1" x14ac:dyDescent="0.2">
      <c r="B11" s="183" t="s">
        <v>390</v>
      </c>
      <c r="C11" s="214">
        <v>33</v>
      </c>
      <c r="D11" s="214">
        <f>D12+D13+D14+D15+D21</f>
        <v>4</v>
      </c>
      <c r="E11" s="214">
        <v>33</v>
      </c>
      <c r="F11" s="214">
        <f>F13+F14+F15+F21</f>
        <v>26</v>
      </c>
      <c r="G11" s="226">
        <f>(F11-D11)/D11</f>
        <v>5.5</v>
      </c>
      <c r="H11" s="215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6"/>
      <c r="CD11" s="166"/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6"/>
      <c r="CT11" s="166"/>
      <c r="CU11" s="166"/>
      <c r="CV11" s="166"/>
      <c r="CW11" s="166"/>
      <c r="CX11" s="166"/>
      <c r="CY11" s="166"/>
      <c r="CZ11" s="166"/>
    </row>
    <row r="12" spans="1:104" ht="15" customHeight="1" x14ac:dyDescent="0.25">
      <c r="B12" s="184" t="s">
        <v>387</v>
      </c>
      <c r="C12" s="216">
        <v>33</v>
      </c>
      <c r="D12" s="216">
        <v>0.4</v>
      </c>
      <c r="E12" s="216">
        <v>33</v>
      </c>
      <c r="F12" s="216">
        <v>2</v>
      </c>
      <c r="G12" s="216">
        <f>F12-D12</f>
        <v>1.6</v>
      </c>
      <c r="H12" s="187">
        <v>1</v>
      </c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  <c r="CA12" s="166"/>
      <c r="CB12" s="166"/>
      <c r="CC12" s="166"/>
      <c r="CD12" s="166"/>
      <c r="CE12" s="166"/>
      <c r="CF12" s="166"/>
      <c r="CG12" s="166"/>
      <c r="CH12" s="166"/>
      <c r="CI12" s="166"/>
      <c r="CJ12" s="166"/>
      <c r="CK12" s="166"/>
      <c r="CL12" s="166"/>
      <c r="CM12" s="166"/>
      <c r="CN12" s="166"/>
      <c r="CO12" s="166"/>
      <c r="CP12" s="166"/>
      <c r="CQ12" s="166"/>
      <c r="CR12" s="166"/>
      <c r="CS12" s="166"/>
      <c r="CT12" s="166"/>
      <c r="CU12" s="166"/>
      <c r="CV12" s="166"/>
      <c r="CW12" s="166"/>
      <c r="CX12" s="166"/>
      <c r="CY12" s="166"/>
      <c r="CZ12" s="166"/>
    </row>
    <row r="13" spans="1:104" ht="15" customHeight="1" x14ac:dyDescent="0.25">
      <c r="B13" s="184" t="s">
        <v>266</v>
      </c>
      <c r="C13" s="216">
        <v>34</v>
      </c>
      <c r="D13" s="216">
        <v>0.2</v>
      </c>
      <c r="E13" s="216">
        <v>33</v>
      </c>
      <c r="F13" s="216">
        <v>2</v>
      </c>
      <c r="G13" s="216">
        <f t="shared" ref="G13:G21" si="53">F13-D13</f>
        <v>1.8</v>
      </c>
      <c r="H13" s="187">
        <v>1</v>
      </c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  <c r="CA13" s="166"/>
      <c r="CB13" s="166"/>
      <c r="CC13" s="166"/>
      <c r="CD13" s="166"/>
      <c r="CE13" s="166"/>
      <c r="CF13" s="166"/>
      <c r="CG13" s="166"/>
      <c r="CH13" s="166"/>
      <c r="CI13" s="166"/>
      <c r="CJ13" s="166"/>
      <c r="CK13" s="166"/>
      <c r="CL13" s="166"/>
      <c r="CM13" s="166"/>
      <c r="CN13" s="166"/>
      <c r="CO13" s="166"/>
      <c r="CP13" s="166"/>
      <c r="CQ13" s="166"/>
      <c r="CR13" s="166"/>
      <c r="CS13" s="166"/>
      <c r="CT13" s="166"/>
      <c r="CU13" s="166"/>
      <c r="CV13" s="166"/>
      <c r="CW13" s="166"/>
      <c r="CX13" s="166"/>
      <c r="CY13" s="166"/>
      <c r="CZ13" s="166"/>
    </row>
    <row r="14" spans="1:104" ht="15" customHeight="1" x14ac:dyDescent="0.25">
      <c r="B14" s="184" t="s">
        <v>385</v>
      </c>
      <c r="C14" s="216">
        <v>34</v>
      </c>
      <c r="D14" s="216">
        <v>0.4</v>
      </c>
      <c r="E14" s="216">
        <v>35</v>
      </c>
      <c r="F14" s="216">
        <v>5</v>
      </c>
      <c r="G14" s="216">
        <f t="shared" si="53"/>
        <v>4.5999999999999996</v>
      </c>
      <c r="H14" s="187">
        <v>1</v>
      </c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  <c r="CA14" s="166"/>
      <c r="CB14" s="166"/>
      <c r="CC14" s="166"/>
      <c r="CD14" s="166"/>
      <c r="CE14" s="166"/>
      <c r="CF14" s="166"/>
      <c r="CG14" s="166"/>
      <c r="CH14" s="166"/>
      <c r="CI14" s="166"/>
      <c r="CJ14" s="166"/>
      <c r="CK14" s="166"/>
      <c r="CL14" s="166"/>
      <c r="CM14" s="166"/>
      <c r="CN14" s="166"/>
      <c r="CO14" s="166"/>
      <c r="CP14" s="166"/>
      <c r="CQ14" s="166"/>
      <c r="CR14" s="166"/>
      <c r="CS14" s="166"/>
      <c r="CT14" s="166"/>
      <c r="CU14" s="166"/>
      <c r="CV14" s="166"/>
      <c r="CW14" s="166"/>
      <c r="CX14" s="166"/>
      <c r="CY14" s="166"/>
      <c r="CZ14" s="166"/>
    </row>
    <row r="15" spans="1:104" ht="15" customHeight="1" x14ac:dyDescent="0.25">
      <c r="B15" s="184" t="s">
        <v>308</v>
      </c>
      <c r="C15" s="216">
        <v>35</v>
      </c>
      <c r="D15" s="216">
        <f>SUM(D16:D20)</f>
        <v>2.5</v>
      </c>
      <c r="E15" s="216">
        <v>42</v>
      </c>
      <c r="F15" s="216">
        <f>SUM(F16:F20)</f>
        <v>19</v>
      </c>
      <c r="G15" s="216">
        <f t="shared" si="53"/>
        <v>16.5</v>
      </c>
      <c r="H15" s="187">
        <v>0.1</v>
      </c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  <c r="CA15" s="166"/>
      <c r="CB15" s="166"/>
      <c r="CC15" s="166"/>
      <c r="CD15" s="166"/>
      <c r="CE15" s="166"/>
      <c r="CF15" s="166"/>
      <c r="CG15" s="166"/>
      <c r="CH15" s="166"/>
      <c r="CI15" s="166"/>
      <c r="CJ15" s="166"/>
      <c r="CK15" s="166"/>
      <c r="CL15" s="166"/>
      <c r="CM15" s="166"/>
      <c r="CN15" s="166"/>
      <c r="CO15" s="166"/>
      <c r="CP15" s="166"/>
      <c r="CQ15" s="166"/>
      <c r="CR15" s="166"/>
      <c r="CS15" s="166"/>
      <c r="CT15" s="166"/>
      <c r="CU15" s="166"/>
      <c r="CV15" s="166"/>
      <c r="CW15" s="166"/>
      <c r="CX15" s="166"/>
      <c r="CY15" s="166"/>
      <c r="CZ15" s="166"/>
    </row>
    <row r="16" spans="1:104" ht="15" customHeight="1" x14ac:dyDescent="0.25">
      <c r="B16" s="185" t="s">
        <v>391</v>
      </c>
      <c r="C16" s="216">
        <v>35</v>
      </c>
      <c r="D16" s="216">
        <v>0.5</v>
      </c>
      <c r="E16" s="216">
        <v>42</v>
      </c>
      <c r="F16" s="216">
        <v>19</v>
      </c>
      <c r="G16" s="216">
        <f t="shared" si="53"/>
        <v>18.5</v>
      </c>
      <c r="H16" s="187">
        <v>0.1</v>
      </c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  <c r="CA16" s="166"/>
      <c r="CB16" s="166"/>
      <c r="CC16" s="166"/>
      <c r="CD16" s="166"/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66"/>
      <c r="CR16" s="166"/>
      <c r="CS16" s="166"/>
      <c r="CT16" s="166"/>
      <c r="CU16" s="166"/>
      <c r="CV16" s="166"/>
      <c r="CW16" s="166"/>
      <c r="CX16" s="166"/>
      <c r="CY16" s="166"/>
      <c r="CZ16" s="166"/>
    </row>
    <row r="17" spans="2:104" ht="15" customHeight="1" x14ac:dyDescent="0.25">
      <c r="B17" s="185" t="s">
        <v>392</v>
      </c>
      <c r="C17" s="216">
        <v>35</v>
      </c>
      <c r="D17" s="216">
        <v>0.5</v>
      </c>
      <c r="E17" s="216">
        <v>0</v>
      </c>
      <c r="F17" s="216">
        <v>0</v>
      </c>
      <c r="G17" s="216">
        <f t="shared" si="53"/>
        <v>-0.5</v>
      </c>
      <c r="H17" s="187">
        <v>0</v>
      </c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  <c r="CA17" s="166"/>
      <c r="CB17" s="166"/>
      <c r="CC17" s="166"/>
      <c r="CD17" s="166"/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66"/>
      <c r="CR17" s="166"/>
      <c r="CS17" s="166"/>
      <c r="CT17" s="166"/>
      <c r="CU17" s="166"/>
      <c r="CV17" s="166"/>
      <c r="CW17" s="166"/>
      <c r="CX17" s="166"/>
      <c r="CY17" s="166"/>
      <c r="CZ17" s="166"/>
    </row>
    <row r="18" spans="2:104" ht="15" customHeight="1" x14ac:dyDescent="0.25">
      <c r="B18" s="185" t="s">
        <v>393</v>
      </c>
      <c r="C18" s="216">
        <v>36</v>
      </c>
      <c r="D18" s="216">
        <v>0.5</v>
      </c>
      <c r="E18" s="216">
        <v>0</v>
      </c>
      <c r="F18" s="216">
        <v>0</v>
      </c>
      <c r="G18" s="216">
        <f t="shared" si="53"/>
        <v>-0.5</v>
      </c>
      <c r="H18" s="187">
        <v>0</v>
      </c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  <c r="CA18" s="166"/>
      <c r="CB18" s="166"/>
      <c r="CC18" s="166"/>
      <c r="CD18" s="166"/>
      <c r="CE18" s="166"/>
      <c r="CF18" s="166"/>
      <c r="CG18" s="166"/>
      <c r="CH18" s="166"/>
      <c r="CI18" s="166"/>
      <c r="CJ18" s="166"/>
      <c r="CK18" s="166"/>
      <c r="CL18" s="166"/>
      <c r="CM18" s="166"/>
      <c r="CN18" s="166"/>
      <c r="CO18" s="166"/>
      <c r="CP18" s="166"/>
      <c r="CQ18" s="166"/>
      <c r="CR18" s="166"/>
      <c r="CS18" s="166"/>
      <c r="CT18" s="166"/>
      <c r="CU18" s="166"/>
      <c r="CV18" s="166"/>
      <c r="CW18" s="166"/>
      <c r="CX18" s="166"/>
      <c r="CY18" s="166"/>
      <c r="CZ18" s="166"/>
    </row>
    <row r="19" spans="2:104" ht="15" customHeight="1" x14ac:dyDescent="0.25">
      <c r="B19" s="185" t="s">
        <v>314</v>
      </c>
      <c r="C19" s="216">
        <v>36</v>
      </c>
      <c r="D19" s="216">
        <v>0.5</v>
      </c>
      <c r="E19" s="216">
        <v>0</v>
      </c>
      <c r="F19" s="216">
        <v>0</v>
      </c>
      <c r="G19" s="216">
        <f t="shared" si="53"/>
        <v>-0.5</v>
      </c>
      <c r="H19" s="187">
        <v>0</v>
      </c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  <c r="CA19" s="166"/>
      <c r="CB19" s="166"/>
      <c r="CC19" s="166"/>
      <c r="CD19" s="166"/>
      <c r="CE19" s="166"/>
      <c r="CF19" s="166"/>
      <c r="CG19" s="166"/>
      <c r="CH19" s="166"/>
      <c r="CI19" s="166"/>
      <c r="CJ19" s="166"/>
      <c r="CK19" s="166"/>
      <c r="CL19" s="166"/>
      <c r="CM19" s="166"/>
      <c r="CN19" s="166"/>
      <c r="CO19" s="166"/>
      <c r="CP19" s="166"/>
      <c r="CQ19" s="166"/>
      <c r="CR19" s="166"/>
      <c r="CS19" s="166"/>
      <c r="CT19" s="166"/>
      <c r="CU19" s="166"/>
      <c r="CV19" s="166"/>
      <c r="CW19" s="166"/>
      <c r="CX19" s="166"/>
      <c r="CY19" s="166"/>
      <c r="CZ19" s="166"/>
    </row>
    <row r="20" spans="2:104" ht="15" customHeight="1" x14ac:dyDescent="0.25">
      <c r="B20" s="185" t="s">
        <v>323</v>
      </c>
      <c r="C20" s="216">
        <v>37</v>
      </c>
      <c r="D20" s="216">
        <v>0.5</v>
      </c>
      <c r="E20" s="216">
        <v>0</v>
      </c>
      <c r="F20" s="216">
        <v>0</v>
      </c>
      <c r="G20" s="216">
        <f t="shared" si="53"/>
        <v>-0.5</v>
      </c>
      <c r="H20" s="187">
        <v>0</v>
      </c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  <c r="CA20" s="166"/>
      <c r="CB20" s="166"/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6"/>
      <c r="CT20" s="166"/>
      <c r="CU20" s="166"/>
      <c r="CV20" s="166"/>
      <c r="CW20" s="166"/>
      <c r="CX20" s="166"/>
      <c r="CY20" s="166"/>
      <c r="CZ20" s="166"/>
    </row>
    <row r="21" spans="2:104" ht="15" customHeight="1" x14ac:dyDescent="0.25">
      <c r="B21" s="184" t="s">
        <v>389</v>
      </c>
      <c r="C21" s="216">
        <v>37</v>
      </c>
      <c r="D21" s="216">
        <v>0.5</v>
      </c>
      <c r="E21" s="216">
        <v>0</v>
      </c>
      <c r="F21" s="216">
        <v>0</v>
      </c>
      <c r="G21" s="216">
        <f t="shared" si="53"/>
        <v>-0.5</v>
      </c>
      <c r="H21" s="187">
        <v>0</v>
      </c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  <c r="CA21" s="166"/>
      <c r="CB21" s="166"/>
      <c r="CC21" s="166"/>
      <c r="CD21" s="166"/>
      <c r="CE21" s="166"/>
      <c r="CF21" s="166"/>
      <c r="CG21" s="166"/>
      <c r="CH21" s="166"/>
      <c r="CI21" s="166"/>
      <c r="CJ21" s="166"/>
      <c r="CK21" s="166"/>
      <c r="CL21" s="166"/>
      <c r="CM21" s="166"/>
      <c r="CN21" s="166"/>
      <c r="CO21" s="166"/>
      <c r="CP21" s="166"/>
      <c r="CQ21" s="166"/>
      <c r="CR21" s="166"/>
      <c r="CS21" s="166"/>
      <c r="CT21" s="166"/>
      <c r="CU21" s="166"/>
      <c r="CV21" s="166"/>
      <c r="CW21" s="166"/>
      <c r="CX21" s="166"/>
      <c r="CY21" s="166"/>
      <c r="CZ21" s="166"/>
    </row>
    <row r="22" spans="2:104" ht="15.75" customHeight="1" x14ac:dyDescent="0.2">
      <c r="B22" s="183" t="s">
        <v>379</v>
      </c>
      <c r="C22" s="214">
        <f>C23</f>
        <v>27</v>
      </c>
      <c r="D22" s="223">
        <f>D23+D24+D25+D26+D27+D33</f>
        <v>5.49</v>
      </c>
      <c r="E22" s="214">
        <f>E23</f>
        <v>27</v>
      </c>
      <c r="F22" s="214">
        <f>F23+F24+F25+F26+F27+F33</f>
        <v>24.2</v>
      </c>
      <c r="G22" s="226">
        <f>(F22-D22)/D22</f>
        <v>3.408014571948998</v>
      </c>
      <c r="H22" s="215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  <c r="CA22" s="166"/>
      <c r="CB22" s="166"/>
      <c r="CC22" s="166"/>
      <c r="CD22" s="166"/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66"/>
      <c r="CR22" s="166"/>
      <c r="CS22" s="166"/>
      <c r="CT22" s="166"/>
      <c r="CU22" s="166"/>
      <c r="CV22" s="166"/>
      <c r="CW22" s="166"/>
      <c r="CX22" s="166"/>
      <c r="CY22" s="166"/>
      <c r="CZ22" s="166"/>
    </row>
    <row r="23" spans="2:104" ht="15" customHeight="1" x14ac:dyDescent="0.25">
      <c r="B23" s="184" t="s">
        <v>387</v>
      </c>
      <c r="C23" s="216">
        <v>27</v>
      </c>
      <c r="D23" s="216">
        <v>0.4</v>
      </c>
      <c r="E23" s="216">
        <v>27</v>
      </c>
      <c r="F23" s="216">
        <v>6</v>
      </c>
      <c r="G23" s="216">
        <f>F23-D23</f>
        <v>5.6</v>
      </c>
      <c r="H23" s="187">
        <v>1</v>
      </c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  <c r="CA23" s="166"/>
      <c r="CB23" s="166"/>
      <c r="CC23" s="166"/>
      <c r="CD23" s="166"/>
      <c r="CE23" s="166"/>
      <c r="CF23" s="166"/>
      <c r="CG23" s="166"/>
      <c r="CH23" s="166"/>
      <c r="CI23" s="166"/>
      <c r="CJ23" s="166"/>
      <c r="CK23" s="166"/>
      <c r="CL23" s="166"/>
      <c r="CM23" s="166"/>
      <c r="CN23" s="166"/>
      <c r="CO23" s="166"/>
      <c r="CP23" s="166"/>
      <c r="CQ23" s="166"/>
      <c r="CR23" s="166"/>
      <c r="CS23" s="166"/>
      <c r="CT23" s="166"/>
      <c r="CU23" s="166"/>
      <c r="CV23" s="166"/>
      <c r="CW23" s="166"/>
      <c r="CX23" s="166"/>
      <c r="CY23" s="166"/>
      <c r="CZ23" s="166"/>
    </row>
    <row r="24" spans="2:104" ht="15" customHeight="1" x14ac:dyDescent="0.25">
      <c r="B24" s="184" t="s">
        <v>266</v>
      </c>
      <c r="C24" s="216">
        <v>27</v>
      </c>
      <c r="D24" s="216">
        <v>0.1</v>
      </c>
      <c r="E24" s="216">
        <v>32</v>
      </c>
      <c r="F24" s="216">
        <v>1</v>
      </c>
      <c r="G24" s="216">
        <f t="shared" ref="G24:G33" si="54">F24-D24</f>
        <v>0.9</v>
      </c>
      <c r="H24" s="187">
        <v>1</v>
      </c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  <c r="CA24" s="166"/>
      <c r="CB24" s="166"/>
      <c r="CC24" s="166"/>
      <c r="CD24" s="166"/>
      <c r="CE24" s="166"/>
      <c r="CF24" s="166"/>
      <c r="CG24" s="166"/>
      <c r="CH24" s="166"/>
      <c r="CI24" s="166"/>
      <c r="CJ24" s="166"/>
      <c r="CK24" s="166"/>
      <c r="CL24" s="166"/>
      <c r="CM24" s="166"/>
      <c r="CN24" s="166"/>
      <c r="CO24" s="166"/>
      <c r="CP24" s="166"/>
      <c r="CQ24" s="166"/>
      <c r="CR24" s="166"/>
      <c r="CS24" s="166"/>
      <c r="CT24" s="166"/>
      <c r="CU24" s="166"/>
      <c r="CV24" s="166"/>
      <c r="CW24" s="166"/>
      <c r="CX24" s="166"/>
      <c r="CY24" s="166"/>
      <c r="CZ24" s="166"/>
    </row>
    <row r="25" spans="2:104" ht="15" customHeight="1" x14ac:dyDescent="0.25">
      <c r="B25" s="184" t="s">
        <v>385</v>
      </c>
      <c r="C25" s="216">
        <v>28</v>
      </c>
      <c r="D25" s="216">
        <v>1</v>
      </c>
      <c r="E25" s="216">
        <v>43</v>
      </c>
      <c r="F25" s="216">
        <v>14</v>
      </c>
      <c r="G25" s="216">
        <f t="shared" si="54"/>
        <v>13</v>
      </c>
      <c r="H25" s="187">
        <v>1</v>
      </c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  <c r="CA25" s="166"/>
      <c r="CB25" s="166"/>
      <c r="CC25" s="166"/>
      <c r="CD25" s="166"/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66"/>
      <c r="CR25" s="166"/>
      <c r="CS25" s="166"/>
      <c r="CT25" s="166"/>
      <c r="CU25" s="166"/>
      <c r="CV25" s="166"/>
      <c r="CW25" s="166"/>
      <c r="CX25" s="166"/>
      <c r="CY25" s="166"/>
      <c r="CZ25" s="166"/>
    </row>
    <row r="26" spans="2:104" ht="15" customHeight="1" x14ac:dyDescent="0.25">
      <c r="B26" s="184" t="s">
        <v>388</v>
      </c>
      <c r="C26" s="216">
        <v>28</v>
      </c>
      <c r="D26" s="216">
        <v>1</v>
      </c>
      <c r="E26" s="216">
        <v>56</v>
      </c>
      <c r="F26" s="216">
        <v>0.2</v>
      </c>
      <c r="G26" s="216">
        <f t="shared" si="54"/>
        <v>-0.8</v>
      </c>
      <c r="H26" s="187">
        <v>1</v>
      </c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  <c r="CA26" s="166"/>
      <c r="CB26" s="166"/>
      <c r="CC26" s="166"/>
      <c r="CD26" s="166"/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66"/>
      <c r="CR26" s="166"/>
      <c r="CS26" s="166"/>
      <c r="CT26" s="166"/>
      <c r="CU26" s="166"/>
      <c r="CV26" s="166"/>
      <c r="CW26" s="166"/>
      <c r="CX26" s="166"/>
      <c r="CY26" s="166"/>
      <c r="CZ26" s="166"/>
    </row>
    <row r="27" spans="2:104" ht="15" customHeight="1" x14ac:dyDescent="0.25">
      <c r="B27" s="184" t="s">
        <v>308</v>
      </c>
      <c r="C27" s="216">
        <v>29</v>
      </c>
      <c r="D27" s="218">
        <f>SUM(D28:D32)</f>
        <v>2.66</v>
      </c>
      <c r="E27" s="216">
        <v>59</v>
      </c>
      <c r="F27" s="216">
        <v>3</v>
      </c>
      <c r="G27" s="216">
        <f t="shared" si="54"/>
        <v>0.33999999999999986</v>
      </c>
      <c r="H27" s="187">
        <v>0.1</v>
      </c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  <c r="CA27" s="166"/>
      <c r="CB27" s="166"/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6"/>
      <c r="CT27" s="166"/>
      <c r="CU27" s="166"/>
      <c r="CV27" s="166"/>
      <c r="CW27" s="166"/>
      <c r="CX27" s="166"/>
      <c r="CY27" s="166"/>
      <c r="CZ27" s="166"/>
    </row>
    <row r="28" spans="2:104" ht="15" customHeight="1" x14ac:dyDescent="0.25">
      <c r="B28" s="185" t="s">
        <v>321</v>
      </c>
      <c r="C28" s="216">
        <v>29</v>
      </c>
      <c r="D28" s="216">
        <v>0.5</v>
      </c>
      <c r="E28" s="216">
        <v>59</v>
      </c>
      <c r="F28" s="216">
        <v>3</v>
      </c>
      <c r="G28" s="216">
        <f t="shared" si="54"/>
        <v>2.5</v>
      </c>
      <c r="H28" s="187">
        <v>0.5</v>
      </c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66"/>
      <c r="CR28" s="166"/>
      <c r="CS28" s="166"/>
      <c r="CT28" s="166"/>
      <c r="CU28" s="166"/>
      <c r="CV28" s="166"/>
      <c r="CW28" s="166"/>
      <c r="CX28" s="166"/>
      <c r="CY28" s="166"/>
      <c r="CZ28" s="166"/>
    </row>
    <row r="29" spans="2:104" ht="15" customHeight="1" x14ac:dyDescent="0.25">
      <c r="B29" s="185" t="s">
        <v>311</v>
      </c>
      <c r="C29" s="216">
        <v>29</v>
      </c>
      <c r="D29" s="216">
        <v>0.5</v>
      </c>
      <c r="E29" s="216">
        <v>0</v>
      </c>
      <c r="F29" s="216">
        <v>0</v>
      </c>
      <c r="G29" s="216">
        <f t="shared" si="54"/>
        <v>-0.5</v>
      </c>
      <c r="H29" s="187">
        <v>0</v>
      </c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6"/>
      <c r="CO29" s="166"/>
      <c r="CP29" s="166"/>
      <c r="CQ29" s="166"/>
      <c r="CR29" s="166"/>
      <c r="CS29" s="166"/>
      <c r="CT29" s="166"/>
      <c r="CU29" s="166"/>
      <c r="CV29" s="166"/>
      <c r="CW29" s="166"/>
      <c r="CX29" s="166"/>
      <c r="CY29" s="166"/>
      <c r="CZ29" s="166"/>
    </row>
    <row r="30" spans="2:104" ht="15" customHeight="1" x14ac:dyDescent="0.25">
      <c r="B30" s="185" t="s">
        <v>312</v>
      </c>
      <c r="C30" s="216">
        <v>30</v>
      </c>
      <c r="D30" s="216">
        <v>1</v>
      </c>
      <c r="E30" s="216">
        <v>0</v>
      </c>
      <c r="F30" s="216">
        <v>0</v>
      </c>
      <c r="G30" s="216">
        <f t="shared" si="54"/>
        <v>-1</v>
      </c>
      <c r="H30" s="187">
        <v>0</v>
      </c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6"/>
      <c r="CO30" s="166"/>
      <c r="CP30" s="166"/>
      <c r="CQ30" s="166"/>
      <c r="CR30" s="166"/>
      <c r="CS30" s="166"/>
      <c r="CT30" s="166"/>
      <c r="CU30" s="166"/>
      <c r="CV30" s="166"/>
      <c r="CW30" s="166"/>
      <c r="CX30" s="166"/>
      <c r="CY30" s="166"/>
      <c r="CZ30" s="166"/>
    </row>
    <row r="31" spans="2:104" ht="15" customHeight="1" x14ac:dyDescent="0.25">
      <c r="B31" s="185" t="s">
        <v>313</v>
      </c>
      <c r="C31" s="216">
        <v>31</v>
      </c>
      <c r="D31" s="216">
        <v>0.33</v>
      </c>
      <c r="E31" s="216">
        <v>0</v>
      </c>
      <c r="F31" s="216">
        <v>0</v>
      </c>
      <c r="G31" s="216">
        <f t="shared" si="54"/>
        <v>-0.33</v>
      </c>
      <c r="H31" s="187">
        <v>0</v>
      </c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66"/>
      <c r="CR31" s="166"/>
      <c r="CS31" s="166"/>
      <c r="CT31" s="166"/>
      <c r="CU31" s="166"/>
      <c r="CV31" s="166"/>
      <c r="CW31" s="166"/>
      <c r="CX31" s="166"/>
      <c r="CY31" s="166"/>
      <c r="CZ31" s="166"/>
    </row>
    <row r="32" spans="2:104" ht="15" customHeight="1" x14ac:dyDescent="0.25">
      <c r="B32" s="185" t="s">
        <v>314</v>
      </c>
      <c r="C32" s="216">
        <v>31</v>
      </c>
      <c r="D32" s="216">
        <v>0.33</v>
      </c>
      <c r="E32" s="216">
        <v>0</v>
      </c>
      <c r="F32" s="216">
        <v>0</v>
      </c>
      <c r="G32" s="216">
        <f t="shared" si="54"/>
        <v>-0.33</v>
      </c>
      <c r="H32" s="187">
        <v>0</v>
      </c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</row>
    <row r="33" spans="2:104" ht="15" customHeight="1" x14ac:dyDescent="0.25">
      <c r="B33" s="184" t="s">
        <v>389</v>
      </c>
      <c r="C33" s="216">
        <v>31</v>
      </c>
      <c r="D33" s="216">
        <v>0.33</v>
      </c>
      <c r="E33" s="216">
        <v>0</v>
      </c>
      <c r="F33" s="216">
        <v>0</v>
      </c>
      <c r="G33" s="216">
        <f t="shared" si="54"/>
        <v>-0.33</v>
      </c>
      <c r="H33" s="187">
        <v>0</v>
      </c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6"/>
      <c r="CT33" s="166"/>
      <c r="CU33" s="166"/>
      <c r="CV33" s="166"/>
      <c r="CW33" s="166"/>
      <c r="CX33" s="166"/>
      <c r="CY33" s="166"/>
      <c r="CZ33" s="166"/>
    </row>
    <row r="34" spans="2:104" s="236" customFormat="1" ht="15.75" customHeight="1" x14ac:dyDescent="0.2">
      <c r="B34" s="183" t="s">
        <v>605</v>
      </c>
      <c r="C34" s="214">
        <v>50</v>
      </c>
      <c r="D34" s="223">
        <f>D35+D36+D37+D38+D43</f>
        <v>3.89</v>
      </c>
      <c r="E34" s="214">
        <f>E35</f>
        <v>55</v>
      </c>
      <c r="F34" s="214">
        <f>F35+F36+F37+F38+F43</f>
        <v>0.9</v>
      </c>
      <c r="G34" s="226">
        <f>(F34-D34)/D34</f>
        <v>-0.76863753213367614</v>
      </c>
      <c r="H34" s="215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66"/>
      <c r="CR34" s="166"/>
      <c r="CS34" s="166"/>
      <c r="CT34" s="166"/>
      <c r="CU34" s="166"/>
      <c r="CV34" s="166"/>
      <c r="CW34" s="166"/>
      <c r="CX34" s="166"/>
      <c r="CY34" s="166"/>
      <c r="CZ34" s="166"/>
    </row>
    <row r="35" spans="2:104" s="236" customFormat="1" ht="15" customHeight="1" x14ac:dyDescent="0.25">
      <c r="B35" s="184" t="s">
        <v>387</v>
      </c>
      <c r="C35" s="216">
        <v>50</v>
      </c>
      <c r="D35" s="216">
        <v>0.3</v>
      </c>
      <c r="E35" s="216">
        <v>55</v>
      </c>
      <c r="F35" s="216">
        <v>0.3</v>
      </c>
      <c r="G35" s="216">
        <f>F35-D35</f>
        <v>0</v>
      </c>
      <c r="H35" s="187">
        <v>1</v>
      </c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66"/>
      <c r="CR35" s="166"/>
      <c r="CS35" s="166"/>
      <c r="CT35" s="166"/>
      <c r="CU35" s="166"/>
      <c r="CV35" s="166"/>
      <c r="CW35" s="166"/>
      <c r="CX35" s="166"/>
      <c r="CY35" s="166"/>
      <c r="CZ35" s="166"/>
    </row>
    <row r="36" spans="2:104" s="236" customFormat="1" ht="15" customHeight="1" x14ac:dyDescent="0.25">
      <c r="B36" s="184" t="s">
        <v>266</v>
      </c>
      <c r="C36" s="216">
        <v>50</v>
      </c>
      <c r="D36" s="216">
        <v>0.2</v>
      </c>
      <c r="E36" s="216">
        <v>55</v>
      </c>
      <c r="F36" s="216">
        <v>0.2</v>
      </c>
      <c r="G36" s="216">
        <f t="shared" ref="G36:G43" si="55">F36-D36</f>
        <v>0</v>
      </c>
      <c r="H36" s="187">
        <v>1</v>
      </c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6"/>
      <c r="CO36" s="166"/>
      <c r="CP36" s="166"/>
      <c r="CQ36" s="166"/>
      <c r="CR36" s="166"/>
      <c r="CS36" s="166"/>
      <c r="CT36" s="166"/>
      <c r="CU36" s="166"/>
      <c r="CV36" s="166"/>
      <c r="CW36" s="166"/>
      <c r="CX36" s="166"/>
      <c r="CY36" s="166"/>
      <c r="CZ36" s="166"/>
    </row>
    <row r="37" spans="2:104" s="236" customFormat="1" ht="15" customHeight="1" x14ac:dyDescent="0.25">
      <c r="B37" s="184" t="s">
        <v>385</v>
      </c>
      <c r="C37" s="216">
        <v>51</v>
      </c>
      <c r="D37" s="216">
        <v>0.4</v>
      </c>
      <c r="E37" s="216">
        <v>56</v>
      </c>
      <c r="F37" s="216">
        <v>0.4</v>
      </c>
      <c r="G37" s="216">
        <f t="shared" si="55"/>
        <v>0</v>
      </c>
      <c r="H37" s="187">
        <v>1</v>
      </c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66"/>
      <c r="CR37" s="166"/>
      <c r="CS37" s="166"/>
      <c r="CT37" s="166"/>
      <c r="CU37" s="166"/>
      <c r="CV37" s="166"/>
      <c r="CW37" s="166"/>
      <c r="CX37" s="166"/>
      <c r="CY37" s="166"/>
      <c r="CZ37" s="166"/>
    </row>
    <row r="38" spans="2:104" s="236" customFormat="1" ht="15" customHeight="1" x14ac:dyDescent="0.25">
      <c r="B38" s="184" t="s">
        <v>308</v>
      </c>
      <c r="C38" s="216">
        <v>52</v>
      </c>
      <c r="D38" s="218">
        <f>SUM(D39:D42)</f>
        <v>2.66</v>
      </c>
      <c r="E38" s="216">
        <v>0</v>
      </c>
      <c r="F38" s="216">
        <v>0</v>
      </c>
      <c r="G38" s="216">
        <f t="shared" si="55"/>
        <v>-2.66</v>
      </c>
      <c r="H38" s="187">
        <v>0</v>
      </c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66"/>
      <c r="CR38" s="166"/>
      <c r="CS38" s="166"/>
      <c r="CT38" s="166"/>
      <c r="CU38" s="166"/>
      <c r="CV38" s="166"/>
      <c r="CW38" s="166"/>
      <c r="CX38" s="166"/>
      <c r="CY38" s="166"/>
      <c r="CZ38" s="166"/>
    </row>
    <row r="39" spans="2:104" s="236" customFormat="1" ht="15" customHeight="1" x14ac:dyDescent="0.25">
      <c r="B39" s="185" t="s">
        <v>311</v>
      </c>
      <c r="C39" s="216">
        <v>52</v>
      </c>
      <c r="D39" s="216">
        <v>1</v>
      </c>
      <c r="E39" s="216">
        <v>0</v>
      </c>
      <c r="F39" s="216">
        <v>0</v>
      </c>
      <c r="G39" s="216">
        <f t="shared" si="55"/>
        <v>-1</v>
      </c>
      <c r="H39" s="187">
        <v>0</v>
      </c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6"/>
      <c r="CO39" s="166"/>
      <c r="CP39" s="166"/>
      <c r="CQ39" s="166"/>
      <c r="CR39" s="166"/>
      <c r="CS39" s="166"/>
      <c r="CT39" s="166"/>
      <c r="CU39" s="166"/>
      <c r="CV39" s="166"/>
      <c r="CW39" s="166"/>
      <c r="CX39" s="166"/>
      <c r="CY39" s="166"/>
      <c r="CZ39" s="166"/>
    </row>
    <row r="40" spans="2:104" s="236" customFormat="1" ht="15" customHeight="1" x14ac:dyDescent="0.25">
      <c r="B40" s="185" t="s">
        <v>312</v>
      </c>
      <c r="C40" s="216">
        <v>53</v>
      </c>
      <c r="D40" s="216">
        <v>1</v>
      </c>
      <c r="E40" s="216">
        <v>0</v>
      </c>
      <c r="F40" s="216">
        <v>0</v>
      </c>
      <c r="G40" s="216">
        <f t="shared" si="55"/>
        <v>-1</v>
      </c>
      <c r="H40" s="187">
        <v>0</v>
      </c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</row>
    <row r="41" spans="2:104" s="236" customFormat="1" ht="15" customHeight="1" x14ac:dyDescent="0.25">
      <c r="B41" s="185" t="s">
        <v>313</v>
      </c>
      <c r="C41" s="216">
        <v>54</v>
      </c>
      <c r="D41" s="216">
        <v>0.33</v>
      </c>
      <c r="E41" s="216">
        <v>0</v>
      </c>
      <c r="F41" s="216">
        <v>0</v>
      </c>
      <c r="G41" s="216">
        <f t="shared" si="55"/>
        <v>-0.33</v>
      </c>
      <c r="H41" s="187">
        <v>0</v>
      </c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166"/>
      <c r="AV41" s="166"/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6"/>
      <c r="CT41" s="166"/>
      <c r="CU41" s="166"/>
      <c r="CV41" s="166"/>
      <c r="CW41" s="166"/>
      <c r="CX41" s="166"/>
      <c r="CY41" s="166"/>
      <c r="CZ41" s="166"/>
    </row>
    <row r="42" spans="2:104" s="236" customFormat="1" ht="15" customHeight="1" x14ac:dyDescent="0.25">
      <c r="B42" s="185" t="s">
        <v>314</v>
      </c>
      <c r="C42" s="216">
        <v>54</v>
      </c>
      <c r="D42" s="216">
        <v>0.33</v>
      </c>
      <c r="E42" s="216">
        <v>0</v>
      </c>
      <c r="F42" s="216">
        <v>0</v>
      </c>
      <c r="G42" s="216">
        <f t="shared" si="55"/>
        <v>-0.33</v>
      </c>
      <c r="H42" s="187">
        <v>0</v>
      </c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</row>
    <row r="43" spans="2:104" s="236" customFormat="1" ht="15" customHeight="1" x14ac:dyDescent="0.25">
      <c r="B43" s="184" t="s">
        <v>389</v>
      </c>
      <c r="C43" s="216">
        <v>54</v>
      </c>
      <c r="D43" s="216">
        <v>0.33</v>
      </c>
      <c r="E43" s="216">
        <v>0</v>
      </c>
      <c r="F43" s="216">
        <v>0</v>
      </c>
      <c r="G43" s="216">
        <f t="shared" si="55"/>
        <v>-0.33</v>
      </c>
      <c r="H43" s="187">
        <v>0</v>
      </c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</row>
    <row r="44" spans="2:104" s="236" customFormat="1" ht="15.75" customHeight="1" x14ac:dyDescent="0.2">
      <c r="B44" s="183" t="s">
        <v>601</v>
      </c>
      <c r="C44" s="214">
        <v>50</v>
      </c>
      <c r="D44" s="223">
        <f>D45+D46+D47+D48+D53</f>
        <v>3.89</v>
      </c>
      <c r="E44" s="214">
        <f>E45</f>
        <v>55</v>
      </c>
      <c r="F44" s="214">
        <f>F45+F46+F47+F48+F53</f>
        <v>0.9</v>
      </c>
      <c r="G44" s="226">
        <f>(F44-D44)/D44</f>
        <v>-0.76863753213367614</v>
      </c>
      <c r="H44" s="215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</row>
    <row r="45" spans="2:104" s="236" customFormat="1" ht="15" customHeight="1" x14ac:dyDescent="0.25">
      <c r="B45" s="184" t="s">
        <v>387</v>
      </c>
      <c r="C45" s="216">
        <v>50</v>
      </c>
      <c r="D45" s="216">
        <v>0.3</v>
      </c>
      <c r="E45" s="216">
        <v>55</v>
      </c>
      <c r="F45" s="216">
        <v>0.3</v>
      </c>
      <c r="G45" s="216">
        <f>F45-D45</f>
        <v>0</v>
      </c>
      <c r="H45" s="187">
        <v>1</v>
      </c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</row>
    <row r="46" spans="2:104" s="236" customFormat="1" ht="15" customHeight="1" x14ac:dyDescent="0.25">
      <c r="B46" s="184" t="s">
        <v>266</v>
      </c>
      <c r="C46" s="216">
        <v>50</v>
      </c>
      <c r="D46" s="216">
        <v>0.2</v>
      </c>
      <c r="E46" s="216">
        <v>55</v>
      </c>
      <c r="F46" s="216">
        <v>0.2</v>
      </c>
      <c r="G46" s="216">
        <f t="shared" ref="G46:G53" si="56">F46-D46</f>
        <v>0</v>
      </c>
      <c r="H46" s="187">
        <v>1</v>
      </c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</row>
    <row r="47" spans="2:104" s="236" customFormat="1" ht="15" customHeight="1" x14ac:dyDescent="0.25">
      <c r="B47" s="184" t="s">
        <v>385</v>
      </c>
      <c r="C47" s="216">
        <v>51</v>
      </c>
      <c r="D47" s="216">
        <v>0.4</v>
      </c>
      <c r="E47" s="216">
        <v>56</v>
      </c>
      <c r="F47" s="216">
        <v>0.4</v>
      </c>
      <c r="G47" s="216">
        <f t="shared" si="56"/>
        <v>0</v>
      </c>
      <c r="H47" s="187">
        <v>1</v>
      </c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  <c r="AP47" s="166"/>
      <c r="AQ47" s="166"/>
      <c r="AR47" s="166"/>
      <c r="AS47" s="166"/>
      <c r="AT47" s="166"/>
      <c r="AU47" s="166"/>
      <c r="AV47" s="166"/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6"/>
      <c r="CT47" s="166"/>
      <c r="CU47" s="166"/>
      <c r="CV47" s="166"/>
      <c r="CW47" s="166"/>
      <c r="CX47" s="166"/>
      <c r="CY47" s="166"/>
      <c r="CZ47" s="166"/>
    </row>
    <row r="48" spans="2:104" s="236" customFormat="1" ht="15" customHeight="1" x14ac:dyDescent="0.25">
      <c r="B48" s="184" t="s">
        <v>308</v>
      </c>
      <c r="C48" s="216">
        <v>52</v>
      </c>
      <c r="D48" s="218">
        <f>SUM(D49:D52)</f>
        <v>2.66</v>
      </c>
      <c r="E48" s="216">
        <v>0</v>
      </c>
      <c r="F48" s="216">
        <v>0</v>
      </c>
      <c r="G48" s="216">
        <f t="shared" si="56"/>
        <v>-2.66</v>
      </c>
      <c r="H48" s="187">
        <v>0</v>
      </c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  <c r="AP48" s="166"/>
      <c r="AQ48" s="166"/>
      <c r="AR48" s="166"/>
      <c r="AS48" s="166"/>
      <c r="AT48" s="166"/>
      <c r="AU48" s="166"/>
      <c r="AV48" s="166"/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6"/>
      <c r="CO48" s="166"/>
      <c r="CP48" s="166"/>
      <c r="CQ48" s="166"/>
      <c r="CR48" s="166"/>
      <c r="CS48" s="166"/>
      <c r="CT48" s="166"/>
      <c r="CU48" s="166"/>
      <c r="CV48" s="166"/>
      <c r="CW48" s="166"/>
      <c r="CX48" s="166"/>
      <c r="CY48" s="166"/>
      <c r="CZ48" s="166"/>
    </row>
    <row r="49" spans="2:104" s="236" customFormat="1" ht="15" customHeight="1" x14ac:dyDescent="0.25">
      <c r="B49" s="185" t="s">
        <v>311</v>
      </c>
      <c r="C49" s="216">
        <v>52</v>
      </c>
      <c r="D49" s="216">
        <v>1</v>
      </c>
      <c r="E49" s="216">
        <v>0</v>
      </c>
      <c r="F49" s="216">
        <v>0</v>
      </c>
      <c r="G49" s="216">
        <f t="shared" si="56"/>
        <v>-1</v>
      </c>
      <c r="H49" s="187">
        <v>0</v>
      </c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  <c r="AP49" s="166"/>
      <c r="AQ49" s="166"/>
      <c r="AR49" s="166"/>
      <c r="AS49" s="166"/>
      <c r="AT49" s="166"/>
      <c r="AU49" s="166"/>
      <c r="AV49" s="166"/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6"/>
      <c r="CO49" s="166"/>
      <c r="CP49" s="166"/>
      <c r="CQ49" s="166"/>
      <c r="CR49" s="166"/>
      <c r="CS49" s="166"/>
      <c r="CT49" s="166"/>
      <c r="CU49" s="166"/>
      <c r="CV49" s="166"/>
      <c r="CW49" s="166"/>
      <c r="CX49" s="166"/>
      <c r="CY49" s="166"/>
      <c r="CZ49" s="166"/>
    </row>
    <row r="50" spans="2:104" s="236" customFormat="1" ht="15" customHeight="1" x14ac:dyDescent="0.25">
      <c r="B50" s="185" t="s">
        <v>312</v>
      </c>
      <c r="C50" s="216">
        <v>53</v>
      </c>
      <c r="D50" s="216">
        <v>1</v>
      </c>
      <c r="E50" s="216">
        <v>0</v>
      </c>
      <c r="F50" s="216">
        <v>0</v>
      </c>
      <c r="G50" s="216">
        <f t="shared" si="56"/>
        <v>-1</v>
      </c>
      <c r="H50" s="187">
        <v>0</v>
      </c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  <c r="AP50" s="166"/>
      <c r="AQ50" s="166"/>
      <c r="AR50" s="166"/>
      <c r="AS50" s="16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</row>
    <row r="51" spans="2:104" s="236" customFormat="1" ht="15" customHeight="1" x14ac:dyDescent="0.25">
      <c r="B51" s="185" t="s">
        <v>313</v>
      </c>
      <c r="C51" s="216">
        <v>54</v>
      </c>
      <c r="D51" s="216">
        <v>0.33</v>
      </c>
      <c r="E51" s="216">
        <v>0</v>
      </c>
      <c r="F51" s="216">
        <v>0</v>
      </c>
      <c r="G51" s="216">
        <f t="shared" si="56"/>
        <v>-0.33</v>
      </c>
      <c r="H51" s="187">
        <v>0</v>
      </c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  <c r="AP51" s="166"/>
      <c r="AQ51" s="166"/>
      <c r="AR51" s="166"/>
      <c r="AS51" s="166"/>
      <c r="AT51" s="166"/>
      <c r="AU51" s="166"/>
      <c r="AV51" s="166"/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6"/>
      <c r="CT51" s="166"/>
      <c r="CU51" s="166"/>
      <c r="CV51" s="166"/>
      <c r="CW51" s="166"/>
      <c r="CX51" s="166"/>
      <c r="CY51" s="166"/>
      <c r="CZ51" s="166"/>
    </row>
    <row r="52" spans="2:104" s="236" customFormat="1" ht="15" customHeight="1" x14ac:dyDescent="0.25">
      <c r="B52" s="185" t="s">
        <v>314</v>
      </c>
      <c r="C52" s="216">
        <v>54</v>
      </c>
      <c r="D52" s="216">
        <v>0.33</v>
      </c>
      <c r="E52" s="216">
        <v>0</v>
      </c>
      <c r="F52" s="216">
        <v>0</v>
      </c>
      <c r="G52" s="216">
        <f t="shared" si="56"/>
        <v>-0.33</v>
      </c>
      <c r="H52" s="187">
        <v>0</v>
      </c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6"/>
      <c r="CT52" s="166"/>
      <c r="CU52" s="166"/>
      <c r="CV52" s="166"/>
      <c r="CW52" s="166"/>
      <c r="CX52" s="166"/>
      <c r="CY52" s="166"/>
      <c r="CZ52" s="166"/>
    </row>
    <row r="53" spans="2:104" s="236" customFormat="1" ht="15" customHeight="1" x14ac:dyDescent="0.25">
      <c r="B53" s="184" t="s">
        <v>389</v>
      </c>
      <c r="C53" s="216">
        <v>54</v>
      </c>
      <c r="D53" s="216">
        <v>0.33</v>
      </c>
      <c r="E53" s="216">
        <v>0</v>
      </c>
      <c r="F53" s="216">
        <v>0</v>
      </c>
      <c r="G53" s="216">
        <f t="shared" si="56"/>
        <v>-0.33</v>
      </c>
      <c r="H53" s="187">
        <v>0</v>
      </c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  <c r="AP53" s="166"/>
      <c r="AQ53" s="166"/>
      <c r="AR53" s="166"/>
      <c r="AS53" s="166"/>
      <c r="AT53" s="166"/>
      <c r="AU53" s="166"/>
      <c r="AV53" s="166"/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6"/>
      <c r="CO53" s="166"/>
      <c r="CP53" s="166"/>
      <c r="CQ53" s="166"/>
      <c r="CR53" s="166"/>
      <c r="CS53" s="166"/>
      <c r="CT53" s="166"/>
      <c r="CU53" s="166"/>
      <c r="CV53" s="166"/>
      <c r="CW53" s="166"/>
      <c r="CX53" s="166"/>
      <c r="CY53" s="166"/>
      <c r="CZ53" s="166"/>
    </row>
    <row r="54" spans="2:104" ht="15.75" customHeight="1" x14ac:dyDescent="0.2">
      <c r="B54" s="183" t="s">
        <v>555</v>
      </c>
      <c r="C54" s="214">
        <f>C55</f>
        <v>32</v>
      </c>
      <c r="D54" s="214">
        <f>SUM(D58,D55)</f>
        <v>1.1900000000000002</v>
      </c>
      <c r="E54" s="214">
        <f>E55</f>
        <v>32</v>
      </c>
      <c r="F54" s="214">
        <f>F55</f>
        <v>4</v>
      </c>
      <c r="G54" s="226">
        <f>(F54-D54)/D54</f>
        <v>2.3613445378151252</v>
      </c>
      <c r="H54" s="215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  <c r="AP54" s="166"/>
      <c r="AQ54" s="166"/>
      <c r="AR54" s="166"/>
      <c r="AS54" s="166"/>
      <c r="AT54" s="166"/>
      <c r="AU54" s="166"/>
      <c r="AV54" s="166"/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6"/>
      <c r="CO54" s="166"/>
      <c r="CP54" s="166"/>
      <c r="CQ54" s="166"/>
      <c r="CR54" s="166"/>
      <c r="CS54" s="166"/>
      <c r="CT54" s="166"/>
      <c r="CU54" s="166"/>
      <c r="CV54" s="166"/>
      <c r="CW54" s="166"/>
      <c r="CX54" s="166"/>
      <c r="CY54" s="166"/>
      <c r="CZ54" s="166"/>
    </row>
    <row r="55" spans="2:104" ht="15" customHeight="1" x14ac:dyDescent="0.25">
      <c r="B55" s="184" t="s">
        <v>308</v>
      </c>
      <c r="C55" s="216">
        <v>32</v>
      </c>
      <c r="D55" s="216">
        <f>SUM(D56:D58)</f>
        <v>0.8600000000000001</v>
      </c>
      <c r="E55" s="216">
        <v>32</v>
      </c>
      <c r="F55" s="216">
        <v>4</v>
      </c>
      <c r="G55" s="216">
        <f t="shared" ref="G55:G60" si="57">F55-D55</f>
        <v>3.1399999999999997</v>
      </c>
      <c r="H55" s="187">
        <v>1</v>
      </c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66"/>
      <c r="CR55" s="166"/>
      <c r="CS55" s="166"/>
      <c r="CT55" s="166"/>
      <c r="CU55" s="166"/>
      <c r="CV55" s="166"/>
      <c r="CW55" s="166"/>
      <c r="CX55" s="166"/>
      <c r="CY55" s="166"/>
      <c r="CZ55" s="166"/>
    </row>
    <row r="56" spans="2:104" ht="15" customHeight="1" x14ac:dyDescent="0.25">
      <c r="B56" s="185" t="s">
        <v>312</v>
      </c>
      <c r="C56" s="216">
        <v>32</v>
      </c>
      <c r="D56" s="216">
        <v>0.2</v>
      </c>
      <c r="E56" s="216">
        <v>32</v>
      </c>
      <c r="F56" s="216">
        <v>5</v>
      </c>
      <c r="G56" s="216">
        <f t="shared" si="57"/>
        <v>4.8</v>
      </c>
      <c r="H56" s="187">
        <v>1</v>
      </c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66"/>
      <c r="CR56" s="166"/>
      <c r="CS56" s="166"/>
      <c r="CT56" s="166"/>
      <c r="CU56" s="166"/>
      <c r="CV56" s="166"/>
      <c r="CW56" s="166"/>
      <c r="CX56" s="166"/>
      <c r="CY56" s="166"/>
      <c r="CZ56" s="166"/>
    </row>
    <row r="57" spans="2:104" ht="15" customHeight="1" x14ac:dyDescent="0.25">
      <c r="B57" s="185" t="s">
        <v>314</v>
      </c>
      <c r="C57" s="216">
        <v>33</v>
      </c>
      <c r="D57" s="216">
        <v>0.33</v>
      </c>
      <c r="E57" s="216">
        <v>36</v>
      </c>
      <c r="F57" s="216">
        <v>0.33</v>
      </c>
      <c r="G57" s="216">
        <f t="shared" si="57"/>
        <v>0</v>
      </c>
      <c r="H57" s="187">
        <v>1</v>
      </c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6"/>
      <c r="CO57" s="166"/>
      <c r="CP57" s="166"/>
      <c r="CQ57" s="166"/>
      <c r="CR57" s="166"/>
      <c r="CS57" s="166"/>
      <c r="CT57" s="166"/>
      <c r="CU57" s="166"/>
      <c r="CV57" s="166"/>
      <c r="CW57" s="166"/>
      <c r="CX57" s="166"/>
      <c r="CY57" s="166"/>
      <c r="CZ57" s="166"/>
    </row>
    <row r="58" spans="2:104" ht="15" customHeight="1" x14ac:dyDescent="0.25">
      <c r="B58" s="185" t="s">
        <v>313</v>
      </c>
      <c r="C58" s="216">
        <v>33</v>
      </c>
      <c r="D58" s="216">
        <v>0.33</v>
      </c>
      <c r="E58" s="216">
        <v>36</v>
      </c>
      <c r="F58" s="216">
        <v>0.33</v>
      </c>
      <c r="G58" s="216">
        <f t="shared" si="57"/>
        <v>0</v>
      </c>
      <c r="H58" s="187">
        <v>1</v>
      </c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  <c r="AP58" s="166"/>
      <c r="AQ58" s="166"/>
      <c r="AR58" s="166"/>
      <c r="AS58" s="166"/>
      <c r="AT58" s="166"/>
      <c r="AU58" s="166"/>
      <c r="AV58" s="166"/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66"/>
      <c r="CR58" s="166"/>
      <c r="CS58" s="166"/>
      <c r="CT58" s="166"/>
      <c r="CU58" s="166"/>
      <c r="CV58" s="166"/>
      <c r="CW58" s="166"/>
      <c r="CX58" s="166"/>
      <c r="CY58" s="166"/>
      <c r="CZ58" s="166"/>
    </row>
    <row r="59" spans="2:104" ht="15.75" customHeight="1" x14ac:dyDescent="0.2">
      <c r="B59" s="183" t="s">
        <v>377</v>
      </c>
      <c r="C59" s="214">
        <f>C60</f>
        <v>1</v>
      </c>
      <c r="D59" s="214">
        <f>SUM(D60:D62,D64,D70)</f>
        <v>8</v>
      </c>
      <c r="E59" s="214">
        <f>E60</f>
        <v>1</v>
      </c>
      <c r="F59" s="214">
        <f>SUM(F60:F62,F70)</f>
        <v>39</v>
      </c>
      <c r="G59" s="226">
        <f>(F59-D59)/D59</f>
        <v>3.875</v>
      </c>
      <c r="H59" s="217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  <c r="AP59" s="166"/>
      <c r="AQ59" s="166"/>
      <c r="AR59" s="166"/>
      <c r="AS59" s="166"/>
      <c r="AT59" s="166"/>
      <c r="AU59" s="166"/>
      <c r="AV59" s="166"/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66"/>
      <c r="CR59" s="166"/>
      <c r="CS59" s="166"/>
      <c r="CT59" s="166"/>
      <c r="CU59" s="166"/>
      <c r="CV59" s="166"/>
      <c r="CW59" s="166"/>
      <c r="CX59" s="166"/>
      <c r="CY59" s="166"/>
      <c r="CZ59" s="166"/>
    </row>
    <row r="60" spans="2:104" ht="15" customHeight="1" x14ac:dyDescent="0.25">
      <c r="B60" s="184" t="s">
        <v>306</v>
      </c>
      <c r="C60" s="216">
        <v>1</v>
      </c>
      <c r="D60" s="216">
        <v>1</v>
      </c>
      <c r="E60" s="216">
        <v>1</v>
      </c>
      <c r="F60" s="216">
        <v>2</v>
      </c>
      <c r="G60" s="216">
        <f t="shared" si="57"/>
        <v>1</v>
      </c>
      <c r="H60" s="187">
        <v>1</v>
      </c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</row>
    <row r="61" spans="2:104" ht="15" customHeight="1" x14ac:dyDescent="0.25">
      <c r="B61" s="184" t="s">
        <v>307</v>
      </c>
      <c r="C61" s="216">
        <v>2</v>
      </c>
      <c r="D61" s="216">
        <v>1</v>
      </c>
      <c r="E61" s="216">
        <v>3</v>
      </c>
      <c r="F61" s="216">
        <v>1</v>
      </c>
      <c r="G61" s="216">
        <f t="shared" ref="G61:G70" si="58">F61-D61</f>
        <v>0</v>
      </c>
      <c r="H61" s="187">
        <v>1</v>
      </c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  <c r="AP61" s="166"/>
      <c r="AQ61" s="166"/>
      <c r="AR61" s="166"/>
      <c r="AS61" s="166"/>
      <c r="AT61" s="166"/>
      <c r="AU61" s="166"/>
      <c r="AV61" s="16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66"/>
      <c r="CR61" s="166"/>
      <c r="CS61" s="166"/>
      <c r="CT61" s="166"/>
      <c r="CU61" s="166"/>
      <c r="CV61" s="166"/>
      <c r="CW61" s="166"/>
      <c r="CX61" s="166"/>
      <c r="CY61" s="166"/>
      <c r="CZ61" s="166"/>
    </row>
    <row r="62" spans="2:104" ht="15" customHeight="1" x14ac:dyDescent="0.25">
      <c r="B62" s="184" t="s">
        <v>308</v>
      </c>
      <c r="C62" s="216">
        <v>3</v>
      </c>
      <c r="D62" s="216">
        <f>SUM(D63,D65:D69)</f>
        <v>5</v>
      </c>
      <c r="E62" s="216">
        <v>3</v>
      </c>
      <c r="F62" s="216">
        <f>SUM(F63,F65:F69)</f>
        <v>36</v>
      </c>
      <c r="G62" s="216">
        <f>F62-D62</f>
        <v>31</v>
      </c>
      <c r="H62" s="187">
        <v>0.8</v>
      </c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  <c r="AR62" s="166"/>
      <c r="AS62" s="166"/>
      <c r="AT62" s="166"/>
      <c r="AU62" s="166"/>
      <c r="AV62" s="16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66"/>
      <c r="CR62" s="166"/>
      <c r="CS62" s="166"/>
      <c r="CT62" s="166"/>
      <c r="CU62" s="166"/>
      <c r="CV62" s="166"/>
      <c r="CW62" s="166"/>
      <c r="CX62" s="166"/>
      <c r="CY62" s="166"/>
      <c r="CZ62" s="166"/>
    </row>
    <row r="63" spans="2:104" ht="15" customHeight="1" x14ac:dyDescent="0.25">
      <c r="B63" s="185" t="s">
        <v>310</v>
      </c>
      <c r="C63" s="216">
        <v>3</v>
      </c>
      <c r="D63" s="216">
        <v>1</v>
      </c>
      <c r="E63" s="216">
        <v>3</v>
      </c>
      <c r="F63" s="216">
        <v>2</v>
      </c>
      <c r="G63" s="216">
        <f t="shared" si="58"/>
        <v>1</v>
      </c>
      <c r="H63" s="187">
        <v>1</v>
      </c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  <c r="AP63" s="166"/>
      <c r="AQ63" s="166"/>
      <c r="AR63" s="166"/>
      <c r="AS63" s="166"/>
      <c r="AT63" s="166"/>
      <c r="AU63" s="166"/>
      <c r="AV63" s="16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6"/>
      <c r="CO63" s="166"/>
      <c r="CP63" s="166"/>
      <c r="CQ63" s="166"/>
      <c r="CR63" s="166"/>
      <c r="CS63" s="166"/>
      <c r="CT63" s="166"/>
      <c r="CU63" s="166"/>
      <c r="CV63" s="166"/>
      <c r="CW63" s="166"/>
      <c r="CX63" s="166"/>
      <c r="CY63" s="166"/>
      <c r="CZ63" s="166"/>
    </row>
    <row r="64" spans="2:104" ht="15" customHeight="1" x14ac:dyDescent="0.25">
      <c r="B64" s="186" t="s">
        <v>309</v>
      </c>
      <c r="C64" s="219">
        <v>0</v>
      </c>
      <c r="D64" s="220">
        <v>0</v>
      </c>
      <c r="E64" s="220">
        <v>3</v>
      </c>
      <c r="F64" s="220">
        <v>4</v>
      </c>
      <c r="G64" s="220">
        <f t="shared" si="58"/>
        <v>4</v>
      </c>
      <c r="H64" s="187">
        <v>1</v>
      </c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  <c r="AP64" s="166"/>
      <c r="AQ64" s="166"/>
      <c r="AR64" s="166"/>
      <c r="AS64" s="166"/>
      <c r="AT64" s="166"/>
      <c r="AU64" s="166"/>
      <c r="AV64" s="16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6"/>
      <c r="CO64" s="166"/>
      <c r="CP64" s="166"/>
      <c r="CQ64" s="166"/>
      <c r="CR64" s="166"/>
      <c r="CS64" s="166"/>
      <c r="CT64" s="166"/>
      <c r="CU64" s="166"/>
      <c r="CV64" s="166"/>
      <c r="CW64" s="166"/>
      <c r="CX64" s="166"/>
      <c r="CY64" s="166"/>
      <c r="CZ64" s="166"/>
    </row>
    <row r="65" spans="2:104" ht="15" customHeight="1" x14ac:dyDescent="0.25">
      <c r="B65" s="185" t="s">
        <v>311</v>
      </c>
      <c r="C65" s="216">
        <v>4</v>
      </c>
      <c r="D65" s="216">
        <v>1</v>
      </c>
      <c r="E65" s="216">
        <v>11</v>
      </c>
      <c r="F65" s="216">
        <v>9</v>
      </c>
      <c r="G65" s="216">
        <f t="shared" si="58"/>
        <v>8</v>
      </c>
      <c r="H65" s="187">
        <v>1</v>
      </c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166"/>
      <c r="AU65" s="166"/>
      <c r="AV65" s="16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66"/>
      <c r="CR65" s="166"/>
      <c r="CS65" s="166"/>
      <c r="CT65" s="166"/>
      <c r="CU65" s="166"/>
      <c r="CV65" s="166"/>
      <c r="CW65" s="166"/>
      <c r="CX65" s="166"/>
      <c r="CY65" s="166"/>
      <c r="CZ65" s="166"/>
    </row>
    <row r="66" spans="2:104" ht="15" customHeight="1" x14ac:dyDescent="0.25">
      <c r="B66" s="185" t="s">
        <v>312</v>
      </c>
      <c r="C66" s="216">
        <v>6</v>
      </c>
      <c r="D66" s="216">
        <v>1</v>
      </c>
      <c r="E66" s="216">
        <v>18</v>
      </c>
      <c r="F66" s="216">
        <v>18</v>
      </c>
      <c r="G66" s="216">
        <f t="shared" si="58"/>
        <v>17</v>
      </c>
      <c r="H66" s="187">
        <v>0.75</v>
      </c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</row>
    <row r="67" spans="2:104" ht="15" customHeight="1" x14ac:dyDescent="0.25">
      <c r="B67" s="185" t="s">
        <v>313</v>
      </c>
      <c r="C67" s="216">
        <v>7</v>
      </c>
      <c r="D67" s="216">
        <v>0</v>
      </c>
      <c r="E67" s="216">
        <v>35</v>
      </c>
      <c r="F67" s="216">
        <v>1</v>
      </c>
      <c r="G67" s="216">
        <f t="shared" si="58"/>
        <v>1</v>
      </c>
      <c r="H67" s="187">
        <v>0.75</v>
      </c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66"/>
      <c r="CR67" s="166"/>
      <c r="CS67" s="166"/>
      <c r="CT67" s="166"/>
      <c r="CU67" s="166"/>
      <c r="CV67" s="166"/>
      <c r="CW67" s="166"/>
      <c r="CX67" s="166"/>
      <c r="CY67" s="166"/>
      <c r="CZ67" s="166"/>
    </row>
    <row r="68" spans="2:104" ht="15" customHeight="1" x14ac:dyDescent="0.25">
      <c r="B68" s="185" t="s">
        <v>314</v>
      </c>
      <c r="C68" s="216">
        <v>7</v>
      </c>
      <c r="D68" s="216">
        <v>1</v>
      </c>
      <c r="E68" s="216">
        <v>35</v>
      </c>
      <c r="F68" s="216">
        <v>1</v>
      </c>
      <c r="G68" s="216">
        <f t="shared" si="58"/>
        <v>0</v>
      </c>
      <c r="H68" s="187">
        <v>1</v>
      </c>
      <c r="AC68" s="166"/>
      <c r="AD68" s="166"/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166"/>
      <c r="AU68" s="16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6"/>
      <c r="CO68" s="166"/>
      <c r="CP68" s="166"/>
      <c r="CQ68" s="166"/>
      <c r="CR68" s="166"/>
      <c r="CS68" s="166"/>
      <c r="CT68" s="166"/>
      <c r="CU68" s="166"/>
      <c r="CV68" s="166"/>
      <c r="CW68" s="166"/>
      <c r="CX68" s="166"/>
      <c r="CY68" s="166"/>
      <c r="CZ68" s="166"/>
    </row>
    <row r="69" spans="2:104" ht="15" customHeight="1" x14ac:dyDescent="0.25">
      <c r="B69" s="185" t="s">
        <v>315</v>
      </c>
      <c r="C69" s="216">
        <v>8</v>
      </c>
      <c r="D69" s="216">
        <v>1</v>
      </c>
      <c r="E69" s="216">
        <v>35</v>
      </c>
      <c r="F69" s="216">
        <v>5</v>
      </c>
      <c r="G69" s="216">
        <f t="shared" si="58"/>
        <v>4</v>
      </c>
      <c r="H69" s="187">
        <v>0</v>
      </c>
      <c r="AC69" s="166"/>
      <c r="AD69" s="166"/>
      <c r="AE69" s="166"/>
      <c r="AF69" s="166"/>
      <c r="AG69" s="166"/>
      <c r="AH69" s="166"/>
      <c r="AI69" s="166"/>
      <c r="AJ69" s="166"/>
      <c r="AK69" s="166"/>
      <c r="AL69" s="166"/>
      <c r="AM69" s="166"/>
      <c r="AN69" s="166"/>
      <c r="AO69" s="166"/>
      <c r="AP69" s="166"/>
      <c r="AQ69" s="166"/>
      <c r="AR69" s="166"/>
      <c r="AS69" s="166"/>
      <c r="AT69" s="166"/>
      <c r="AU69" s="166"/>
      <c r="AV69" s="166"/>
      <c r="AW69" s="166"/>
      <c r="AX69" s="166"/>
      <c r="AY69" s="166"/>
      <c r="AZ69" s="166"/>
      <c r="BA69" s="166"/>
      <c r="BB69" s="166"/>
      <c r="BC69" s="166"/>
      <c r="BD69" s="166"/>
      <c r="BE69" s="166"/>
      <c r="BF69" s="166"/>
      <c r="BG69" s="166"/>
      <c r="BH69" s="166"/>
      <c r="BI69" s="166"/>
      <c r="BJ69" s="166"/>
      <c r="BK69" s="166"/>
      <c r="BL69" s="166"/>
      <c r="BM69" s="166"/>
      <c r="BN69" s="166"/>
      <c r="BO69" s="166"/>
      <c r="BP69" s="166"/>
      <c r="BQ69" s="166"/>
      <c r="BR69" s="166"/>
      <c r="BS69" s="166"/>
      <c r="BT69" s="166"/>
      <c r="BU69" s="166"/>
      <c r="BV69" s="166"/>
      <c r="BW69" s="166"/>
      <c r="BX69" s="166"/>
      <c r="BY69" s="166"/>
      <c r="BZ69" s="166"/>
      <c r="CA69" s="166"/>
      <c r="CB69" s="166"/>
      <c r="CC69" s="166"/>
      <c r="CD69" s="166"/>
      <c r="CE69" s="166"/>
      <c r="CF69" s="166"/>
      <c r="CG69" s="166"/>
      <c r="CH69" s="166"/>
      <c r="CI69" s="166"/>
      <c r="CJ69" s="166"/>
      <c r="CK69" s="166"/>
      <c r="CL69" s="166"/>
      <c r="CM69" s="166"/>
      <c r="CN69" s="166"/>
      <c r="CO69" s="166"/>
      <c r="CP69" s="166"/>
      <c r="CQ69" s="166"/>
      <c r="CR69" s="166"/>
      <c r="CS69" s="166"/>
      <c r="CT69" s="166"/>
      <c r="CU69" s="166"/>
      <c r="CV69" s="166"/>
      <c r="CW69" s="166"/>
      <c r="CX69" s="166"/>
      <c r="CY69" s="166"/>
      <c r="CZ69" s="166"/>
    </row>
    <row r="70" spans="2:104" ht="15" customHeight="1" x14ac:dyDescent="0.25">
      <c r="B70" s="184" t="s">
        <v>316</v>
      </c>
      <c r="C70" s="221">
        <v>8</v>
      </c>
      <c r="D70" s="216">
        <v>1</v>
      </c>
      <c r="E70" s="216">
        <v>0</v>
      </c>
      <c r="F70" s="216">
        <v>0</v>
      </c>
      <c r="G70" s="216">
        <f t="shared" si="58"/>
        <v>-1</v>
      </c>
      <c r="H70" s="187">
        <v>0</v>
      </c>
      <c r="AC70" s="166"/>
      <c r="AD70" s="166"/>
      <c r="AE70" s="166"/>
      <c r="AF70" s="166"/>
      <c r="AG70" s="166"/>
      <c r="AH70" s="166"/>
      <c r="AI70" s="166"/>
      <c r="AJ70" s="166"/>
      <c r="AK70" s="166"/>
      <c r="AL70" s="166"/>
      <c r="AM70" s="166"/>
      <c r="AN70" s="166"/>
      <c r="AO70" s="166"/>
      <c r="AP70" s="166"/>
      <c r="AQ70" s="166"/>
      <c r="AR70" s="166"/>
      <c r="AS70" s="166"/>
      <c r="AT70" s="166"/>
      <c r="AU70" s="166"/>
      <c r="AV70" s="166"/>
      <c r="AW70" s="166"/>
      <c r="AX70" s="166"/>
      <c r="AY70" s="166"/>
      <c r="AZ70" s="166"/>
      <c r="BA70" s="166"/>
      <c r="BB70" s="166"/>
      <c r="BC70" s="166"/>
      <c r="BD70" s="166"/>
      <c r="BE70" s="166"/>
      <c r="BF70" s="166"/>
      <c r="BG70" s="166"/>
      <c r="BH70" s="166"/>
      <c r="BI70" s="166"/>
      <c r="BJ70" s="166"/>
      <c r="BK70" s="166"/>
      <c r="BL70" s="166"/>
      <c r="BM70" s="166"/>
      <c r="BN70" s="166"/>
      <c r="BO70" s="166"/>
      <c r="BP70" s="166"/>
      <c r="BQ70" s="166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66"/>
      <c r="CR70" s="166"/>
      <c r="CS70" s="166"/>
      <c r="CT70" s="166"/>
      <c r="CU70" s="166"/>
      <c r="CV70" s="166"/>
      <c r="CW70" s="166"/>
      <c r="CX70" s="166"/>
      <c r="CY70" s="166"/>
      <c r="CZ70" s="166"/>
    </row>
    <row r="71" spans="2:104" ht="15" customHeight="1" x14ac:dyDescent="0.2">
      <c r="B71" s="183" t="s">
        <v>317</v>
      </c>
      <c r="C71" s="214">
        <f>C72</f>
        <v>5</v>
      </c>
      <c r="D71" s="214">
        <f>D72+D73+D74+D75+D81</f>
        <v>7.5</v>
      </c>
      <c r="E71" s="214">
        <f>E72</f>
        <v>5</v>
      </c>
      <c r="F71" s="214">
        <f>SUM(F72:F75,F81)</f>
        <v>12.5</v>
      </c>
      <c r="G71" s="226">
        <f>(F71-D71)/D71</f>
        <v>0.66666666666666663</v>
      </c>
      <c r="H71" s="217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</row>
    <row r="72" spans="2:104" ht="15" customHeight="1" x14ac:dyDescent="0.25">
      <c r="B72" s="184" t="s">
        <v>318</v>
      </c>
      <c r="C72" s="216">
        <v>5</v>
      </c>
      <c r="D72" s="216">
        <v>1</v>
      </c>
      <c r="E72" s="216">
        <v>5</v>
      </c>
      <c r="F72" s="216">
        <v>1</v>
      </c>
      <c r="G72" s="216">
        <f>F72-D72</f>
        <v>0</v>
      </c>
      <c r="H72" s="217">
        <v>1</v>
      </c>
      <c r="AC72" s="166"/>
      <c r="AD72" s="166"/>
      <c r="AE72" s="166"/>
      <c r="AF72" s="166"/>
      <c r="AG72" s="166"/>
      <c r="AH72" s="166"/>
      <c r="AI72" s="166"/>
      <c r="AJ72" s="166"/>
      <c r="AK72" s="166"/>
      <c r="AL72" s="166"/>
      <c r="AM72" s="166"/>
      <c r="AN72" s="166"/>
      <c r="AO72" s="166"/>
      <c r="AP72" s="166"/>
      <c r="AQ72" s="166"/>
      <c r="AR72" s="166"/>
      <c r="AS72" s="166"/>
      <c r="AT72" s="166"/>
      <c r="AU72" s="166"/>
      <c r="AV72" s="166"/>
      <c r="AW72" s="166"/>
      <c r="AX72" s="166"/>
      <c r="AY72" s="166"/>
      <c r="AZ72" s="166"/>
      <c r="BA72" s="166"/>
      <c r="BB72" s="166"/>
      <c r="BC72" s="166"/>
      <c r="BD72" s="166"/>
      <c r="BE72" s="166"/>
      <c r="BF72" s="166"/>
      <c r="BG72" s="166"/>
      <c r="BH72" s="166"/>
      <c r="BI72" s="166"/>
      <c r="BJ72" s="166"/>
      <c r="BK72" s="166"/>
      <c r="BL72" s="166"/>
      <c r="BM72" s="166"/>
      <c r="BN72" s="166"/>
      <c r="BO72" s="166"/>
      <c r="BP72" s="166"/>
      <c r="BQ72" s="166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6"/>
      <c r="CN72" s="166"/>
      <c r="CO72" s="166"/>
      <c r="CP72" s="166"/>
      <c r="CQ72" s="166"/>
      <c r="CR72" s="166"/>
      <c r="CS72" s="166"/>
      <c r="CT72" s="166"/>
      <c r="CU72" s="166"/>
      <c r="CV72" s="166"/>
      <c r="CW72" s="166"/>
      <c r="CX72" s="166"/>
      <c r="CY72" s="166"/>
      <c r="CZ72" s="166"/>
    </row>
    <row r="73" spans="2:104" ht="15" customHeight="1" x14ac:dyDescent="0.25">
      <c r="B73" s="184" t="s">
        <v>319</v>
      </c>
      <c r="C73" s="216">
        <v>5</v>
      </c>
      <c r="D73" s="216">
        <v>1</v>
      </c>
      <c r="E73" s="216">
        <v>6</v>
      </c>
      <c r="F73" s="216">
        <v>1</v>
      </c>
      <c r="G73" s="216">
        <f t="shared" ref="G73:G81" si="59">F73-D73</f>
        <v>0</v>
      </c>
      <c r="H73" s="217">
        <v>1</v>
      </c>
      <c r="AC73" s="166"/>
      <c r="AD73" s="166"/>
      <c r="AE73" s="166"/>
      <c r="AF73" s="166"/>
      <c r="AG73" s="166"/>
      <c r="AH73" s="166"/>
      <c r="AI73" s="166"/>
      <c r="AJ73" s="166"/>
      <c r="AK73" s="166"/>
      <c r="AL73" s="166"/>
      <c r="AM73" s="166"/>
      <c r="AN73" s="166"/>
      <c r="AO73" s="166"/>
      <c r="AP73" s="166"/>
      <c r="AQ73" s="166"/>
      <c r="AR73" s="166"/>
      <c r="AS73" s="166"/>
      <c r="AT73" s="166"/>
      <c r="AU73" s="166"/>
      <c r="AV73" s="166"/>
      <c r="AW73" s="166"/>
      <c r="AX73" s="166"/>
      <c r="AY73" s="166"/>
      <c r="AZ73" s="166"/>
      <c r="BA73" s="166"/>
      <c r="BB73" s="166"/>
      <c r="BC73" s="166"/>
      <c r="BD73" s="166"/>
      <c r="BE73" s="166"/>
      <c r="BF73" s="166"/>
      <c r="BG73" s="166"/>
      <c r="BH73" s="166"/>
      <c r="BI73" s="166"/>
      <c r="BJ73" s="166"/>
      <c r="BK73" s="166"/>
      <c r="BL73" s="166"/>
      <c r="BM73" s="166"/>
      <c r="BN73" s="166"/>
      <c r="BO73" s="166"/>
      <c r="BP73" s="166"/>
      <c r="BQ73" s="166"/>
      <c r="BR73" s="166"/>
      <c r="BS73" s="166"/>
      <c r="BT73" s="166"/>
      <c r="BU73" s="166"/>
      <c r="BV73" s="166"/>
      <c r="BW73" s="166"/>
      <c r="BX73" s="166"/>
      <c r="BY73" s="166"/>
      <c r="BZ73" s="166"/>
      <c r="CA73" s="166"/>
      <c r="CB73" s="166"/>
      <c r="CC73" s="166"/>
      <c r="CD73" s="166"/>
      <c r="CE73" s="166"/>
      <c r="CF73" s="166"/>
      <c r="CG73" s="166"/>
      <c r="CH73" s="166"/>
      <c r="CI73" s="166"/>
      <c r="CJ73" s="166"/>
      <c r="CK73" s="166"/>
      <c r="CL73" s="166"/>
      <c r="CM73" s="166"/>
      <c r="CN73" s="166"/>
      <c r="CO73" s="166"/>
      <c r="CP73" s="166"/>
      <c r="CQ73" s="166"/>
      <c r="CR73" s="166"/>
      <c r="CS73" s="166"/>
      <c r="CT73" s="166"/>
      <c r="CU73" s="166"/>
      <c r="CV73" s="166"/>
      <c r="CW73" s="166"/>
      <c r="CX73" s="166"/>
      <c r="CY73" s="166"/>
      <c r="CZ73" s="166"/>
    </row>
    <row r="74" spans="2:104" ht="15" customHeight="1" x14ac:dyDescent="0.25">
      <c r="B74" s="184" t="s">
        <v>320</v>
      </c>
      <c r="C74" s="216">
        <v>5</v>
      </c>
      <c r="D74" s="216">
        <v>1</v>
      </c>
      <c r="E74" s="216">
        <v>6</v>
      </c>
      <c r="F74" s="216">
        <v>1</v>
      </c>
      <c r="G74" s="216">
        <f t="shared" si="59"/>
        <v>0</v>
      </c>
      <c r="H74" s="217">
        <v>1</v>
      </c>
      <c r="AC74" s="166"/>
      <c r="AD74" s="166"/>
      <c r="AE74" s="166"/>
      <c r="AF74" s="166"/>
      <c r="AG74" s="166"/>
      <c r="AH74" s="166"/>
      <c r="AI74" s="166"/>
      <c r="AJ74" s="166"/>
      <c r="AK74" s="166"/>
      <c r="AL74" s="166"/>
      <c r="AM74" s="166"/>
      <c r="AN74" s="166"/>
      <c r="AO74" s="166"/>
      <c r="AP74" s="166"/>
      <c r="AQ74" s="166"/>
      <c r="AR74" s="166"/>
      <c r="AS74" s="166"/>
      <c r="AT74" s="166"/>
      <c r="AU74" s="166"/>
      <c r="AV74" s="166"/>
      <c r="AW74" s="166"/>
      <c r="AX74" s="166"/>
      <c r="AY74" s="166"/>
      <c r="AZ74" s="166"/>
      <c r="BA74" s="166"/>
      <c r="BB74" s="166"/>
      <c r="BC74" s="166"/>
      <c r="BD74" s="166"/>
      <c r="BE74" s="166"/>
      <c r="BF74" s="166"/>
      <c r="BG74" s="166"/>
      <c r="BH74" s="166"/>
      <c r="BI74" s="166"/>
      <c r="BJ74" s="166"/>
      <c r="BK74" s="166"/>
      <c r="BL74" s="166"/>
      <c r="BM74" s="166"/>
      <c r="BN74" s="166"/>
      <c r="BO74" s="166"/>
      <c r="BP74" s="166"/>
      <c r="BQ74" s="166"/>
      <c r="BR74" s="166"/>
      <c r="BS74" s="166"/>
      <c r="BT74" s="166"/>
      <c r="BU74" s="166"/>
      <c r="BV74" s="166"/>
      <c r="BW74" s="166"/>
      <c r="BX74" s="166"/>
      <c r="BY74" s="166"/>
      <c r="BZ74" s="166"/>
      <c r="CA74" s="166"/>
      <c r="CB74" s="166"/>
      <c r="CC74" s="166"/>
      <c r="CD74" s="166"/>
      <c r="CE74" s="166"/>
      <c r="CF74" s="166"/>
      <c r="CG74" s="166"/>
      <c r="CH74" s="166"/>
      <c r="CI74" s="166"/>
      <c r="CJ74" s="166"/>
      <c r="CK74" s="166"/>
      <c r="CL74" s="166"/>
      <c r="CM74" s="166"/>
      <c r="CN74" s="166"/>
      <c r="CO74" s="166"/>
      <c r="CP74" s="166"/>
      <c r="CQ74" s="166"/>
      <c r="CR74" s="166"/>
      <c r="CS74" s="166"/>
      <c r="CT74" s="166"/>
      <c r="CU74" s="166"/>
      <c r="CV74" s="166"/>
      <c r="CW74" s="166"/>
      <c r="CX74" s="166"/>
      <c r="CY74" s="166"/>
      <c r="CZ74" s="166"/>
    </row>
    <row r="75" spans="2:104" ht="15" customHeight="1" x14ac:dyDescent="0.25">
      <c r="B75" s="184" t="s">
        <v>308</v>
      </c>
      <c r="C75" s="216">
        <v>6</v>
      </c>
      <c r="D75" s="216">
        <v>4</v>
      </c>
      <c r="E75" s="216">
        <v>7</v>
      </c>
      <c r="F75" s="216">
        <f>SUM(F76:F80)</f>
        <v>9</v>
      </c>
      <c r="G75" s="216">
        <f t="shared" si="59"/>
        <v>5</v>
      </c>
      <c r="H75" s="217">
        <v>1</v>
      </c>
      <c r="AC75" s="166"/>
      <c r="AD75" s="166"/>
      <c r="AE75" s="166"/>
      <c r="AF75" s="166"/>
      <c r="AG75" s="166"/>
      <c r="AH75" s="166"/>
      <c r="AI75" s="166"/>
      <c r="AJ75" s="166"/>
      <c r="AK75" s="166"/>
      <c r="AL75" s="166"/>
      <c r="AM75" s="166"/>
      <c r="AN75" s="166"/>
      <c r="AO75" s="166"/>
      <c r="AP75" s="166"/>
      <c r="AQ75" s="166"/>
      <c r="AR75" s="166"/>
      <c r="AS75" s="166"/>
      <c r="AT75" s="166"/>
      <c r="AU75" s="166"/>
      <c r="AV75" s="166"/>
      <c r="AW75" s="166"/>
      <c r="AX75" s="166"/>
      <c r="AY75" s="166"/>
      <c r="AZ75" s="166"/>
      <c r="BA75" s="166"/>
      <c r="BB75" s="166"/>
      <c r="BC75" s="166"/>
      <c r="BD75" s="166"/>
      <c r="BE75" s="166"/>
      <c r="BF75" s="166"/>
      <c r="BG75" s="166"/>
      <c r="BH75" s="166"/>
      <c r="BI75" s="166"/>
      <c r="BJ75" s="166"/>
      <c r="BK75" s="166"/>
      <c r="BL75" s="166"/>
      <c r="BM75" s="166"/>
      <c r="BN75" s="166"/>
      <c r="BO75" s="166"/>
      <c r="BP75" s="166"/>
      <c r="BQ75" s="166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6"/>
      <c r="CN75" s="166"/>
      <c r="CO75" s="166"/>
      <c r="CP75" s="166"/>
      <c r="CQ75" s="166"/>
      <c r="CR75" s="166"/>
      <c r="CS75" s="166"/>
      <c r="CT75" s="166"/>
      <c r="CU75" s="166"/>
      <c r="CV75" s="166"/>
      <c r="CW75" s="166"/>
      <c r="CX75" s="166"/>
      <c r="CY75" s="166"/>
      <c r="CZ75" s="166"/>
    </row>
    <row r="76" spans="2:104" ht="15" customHeight="1" x14ac:dyDescent="0.25">
      <c r="B76" s="185" t="s">
        <v>321</v>
      </c>
      <c r="C76" s="216">
        <v>6</v>
      </c>
      <c r="D76" s="216">
        <v>1</v>
      </c>
      <c r="E76" s="216">
        <v>7</v>
      </c>
      <c r="F76" s="216">
        <v>2</v>
      </c>
      <c r="G76" s="216">
        <f t="shared" si="59"/>
        <v>1</v>
      </c>
      <c r="H76" s="217">
        <v>1</v>
      </c>
      <c r="AC76" s="166"/>
      <c r="AD76" s="166"/>
      <c r="AE76" s="166"/>
      <c r="AF76" s="166"/>
      <c r="AG76" s="166"/>
      <c r="AH76" s="166"/>
      <c r="AI76" s="166"/>
      <c r="AJ76" s="166"/>
      <c r="AK76" s="166"/>
      <c r="AL76" s="166"/>
      <c r="AM76" s="166"/>
      <c r="AN76" s="166"/>
      <c r="AO76" s="166"/>
      <c r="AP76" s="166"/>
      <c r="AQ76" s="166"/>
      <c r="AR76" s="166"/>
      <c r="AS76" s="166"/>
      <c r="AT76" s="166"/>
      <c r="AU76" s="166"/>
      <c r="AV76" s="166"/>
      <c r="AW76" s="166"/>
      <c r="AX76" s="166"/>
      <c r="AY76" s="166"/>
      <c r="AZ76" s="166"/>
      <c r="BA76" s="166"/>
      <c r="BB76" s="166"/>
      <c r="BC76" s="166"/>
      <c r="BD76" s="166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66"/>
      <c r="CR76" s="166"/>
      <c r="CS76" s="166"/>
      <c r="CT76" s="166"/>
      <c r="CU76" s="166"/>
      <c r="CV76" s="166"/>
      <c r="CW76" s="166"/>
      <c r="CX76" s="166"/>
      <c r="CY76" s="166"/>
      <c r="CZ76" s="166"/>
    </row>
    <row r="77" spans="2:104" ht="15" customHeight="1" x14ac:dyDescent="0.25">
      <c r="B77" s="185" t="s">
        <v>311</v>
      </c>
      <c r="C77" s="216">
        <v>7</v>
      </c>
      <c r="D77" s="216">
        <v>1</v>
      </c>
      <c r="E77" s="216">
        <v>9</v>
      </c>
      <c r="F77" s="216">
        <v>1</v>
      </c>
      <c r="G77" s="216">
        <f t="shared" si="59"/>
        <v>0</v>
      </c>
      <c r="H77" s="217">
        <v>1</v>
      </c>
      <c r="AC77" s="166"/>
      <c r="AD77" s="166"/>
      <c r="AE77" s="166"/>
      <c r="AF77" s="166"/>
      <c r="AG77" s="166"/>
      <c r="AH77" s="166"/>
      <c r="AI77" s="166"/>
      <c r="AJ77" s="166"/>
      <c r="AK77" s="166"/>
      <c r="AL77" s="166"/>
      <c r="AM77" s="166"/>
      <c r="AN77" s="166"/>
      <c r="AO77" s="166"/>
      <c r="AP77" s="166"/>
      <c r="AQ77" s="166"/>
      <c r="AR77" s="166"/>
      <c r="AS77" s="166"/>
      <c r="AT77" s="166"/>
      <c r="AU77" s="166"/>
      <c r="AV77" s="166"/>
      <c r="AW77" s="166"/>
      <c r="AX77" s="166"/>
      <c r="AY77" s="166"/>
      <c r="AZ77" s="166"/>
      <c r="BA77" s="166"/>
      <c r="BB77" s="166"/>
      <c r="BC77" s="166"/>
      <c r="BD77" s="166"/>
      <c r="BE77" s="166"/>
      <c r="BF77" s="166"/>
      <c r="BG77" s="166"/>
      <c r="BH77" s="166"/>
      <c r="BI77" s="166"/>
      <c r="BJ77" s="166"/>
      <c r="BK77" s="166"/>
      <c r="BL77" s="166"/>
      <c r="BM77" s="166"/>
      <c r="BN77" s="166"/>
      <c r="BO77" s="166"/>
      <c r="BP77" s="166"/>
      <c r="BQ77" s="166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66"/>
      <c r="CR77" s="166"/>
      <c r="CS77" s="166"/>
      <c r="CT77" s="166"/>
      <c r="CU77" s="166"/>
      <c r="CV77" s="166"/>
      <c r="CW77" s="166"/>
      <c r="CX77" s="166"/>
      <c r="CY77" s="166"/>
      <c r="CZ77" s="166"/>
    </row>
    <row r="78" spans="2:104" ht="15" customHeight="1" x14ac:dyDescent="0.25">
      <c r="B78" s="185" t="s">
        <v>312</v>
      </c>
      <c r="C78" s="216">
        <v>8</v>
      </c>
      <c r="D78" s="216">
        <v>1</v>
      </c>
      <c r="E78" s="216">
        <v>10</v>
      </c>
      <c r="F78" s="216">
        <v>3</v>
      </c>
      <c r="G78" s="216">
        <f t="shared" si="59"/>
        <v>2</v>
      </c>
      <c r="H78" s="217">
        <v>1</v>
      </c>
      <c r="AC78" s="166"/>
      <c r="AD78" s="166"/>
      <c r="AE78" s="166"/>
      <c r="AF78" s="166"/>
      <c r="AG78" s="166"/>
      <c r="AH78" s="166"/>
      <c r="AI78" s="166"/>
      <c r="AJ78" s="166"/>
      <c r="AK78" s="166"/>
      <c r="AL78" s="166"/>
      <c r="AM78" s="166"/>
      <c r="AN78" s="166"/>
      <c r="AO78" s="166"/>
      <c r="AP78" s="166"/>
      <c r="AQ78" s="166"/>
      <c r="AR78" s="166"/>
      <c r="AS78" s="166"/>
      <c r="AT78" s="166"/>
      <c r="AU78" s="166"/>
      <c r="AV78" s="166"/>
      <c r="AW78" s="166"/>
      <c r="AX78" s="166"/>
      <c r="AY78" s="166"/>
      <c r="AZ78" s="166"/>
      <c r="BA78" s="166"/>
      <c r="BB78" s="166"/>
      <c r="BC78" s="166"/>
      <c r="BD78" s="166"/>
      <c r="BE78" s="166"/>
      <c r="BF78" s="166"/>
      <c r="BG78" s="166"/>
      <c r="BH78" s="166"/>
      <c r="BI78" s="166"/>
      <c r="BJ78" s="166"/>
      <c r="BK78" s="166"/>
      <c r="BL78" s="166"/>
      <c r="BM78" s="166"/>
      <c r="BN78" s="166"/>
      <c r="BO78" s="166"/>
      <c r="BP78" s="166"/>
      <c r="BQ78" s="166"/>
      <c r="BR78" s="166"/>
      <c r="BS78" s="166"/>
      <c r="BT78" s="166"/>
      <c r="BU78" s="166"/>
      <c r="BV78" s="166"/>
      <c r="BW78" s="166"/>
      <c r="BX78" s="166"/>
      <c r="BY78" s="166"/>
      <c r="BZ78" s="166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6"/>
      <c r="CN78" s="166"/>
      <c r="CO78" s="166"/>
      <c r="CP78" s="166"/>
      <c r="CQ78" s="166"/>
      <c r="CR78" s="166"/>
      <c r="CS78" s="166"/>
      <c r="CT78" s="166"/>
      <c r="CU78" s="166"/>
      <c r="CV78" s="166"/>
      <c r="CW78" s="166"/>
      <c r="CX78" s="166"/>
      <c r="CY78" s="166"/>
      <c r="CZ78" s="166"/>
    </row>
    <row r="79" spans="2:104" ht="15" customHeight="1" x14ac:dyDescent="0.25">
      <c r="B79" s="185" t="s">
        <v>322</v>
      </c>
      <c r="C79" s="216">
        <v>0</v>
      </c>
      <c r="D79" s="216">
        <v>0</v>
      </c>
      <c r="E79" s="216">
        <v>13</v>
      </c>
      <c r="F79" s="216">
        <v>2</v>
      </c>
      <c r="G79" s="216">
        <f t="shared" si="59"/>
        <v>2</v>
      </c>
      <c r="H79" s="217">
        <v>1</v>
      </c>
      <c r="AC79" s="166"/>
      <c r="AD79" s="166"/>
      <c r="AE79" s="166"/>
      <c r="AF79" s="166"/>
      <c r="AG79" s="166"/>
      <c r="AH79" s="166"/>
      <c r="AI79" s="166"/>
      <c r="AJ79" s="166"/>
      <c r="AK79" s="166"/>
      <c r="AL79" s="166"/>
      <c r="AM79" s="166"/>
      <c r="AN79" s="166"/>
      <c r="AO79" s="166"/>
      <c r="AP79" s="166"/>
      <c r="AQ79" s="166"/>
      <c r="AR79" s="166"/>
      <c r="AS79" s="166"/>
      <c r="AT79" s="166"/>
      <c r="AU79" s="166"/>
      <c r="AV79" s="166"/>
      <c r="AW79" s="166"/>
      <c r="AX79" s="166"/>
      <c r="AY79" s="166"/>
      <c r="AZ79" s="166"/>
      <c r="BA79" s="166"/>
      <c r="BB79" s="166"/>
      <c r="BC79" s="166"/>
      <c r="BD79" s="166"/>
      <c r="BE79" s="166"/>
      <c r="BF79" s="166"/>
      <c r="BG79" s="166"/>
      <c r="BH79" s="166"/>
      <c r="BI79" s="166"/>
      <c r="BJ79" s="166"/>
      <c r="BK79" s="166"/>
      <c r="BL79" s="166"/>
      <c r="BM79" s="166"/>
      <c r="BN79" s="166"/>
      <c r="BO79" s="166"/>
      <c r="BP79" s="166"/>
      <c r="BQ79" s="166"/>
      <c r="BR79" s="166"/>
      <c r="BS79" s="166"/>
      <c r="BT79" s="166"/>
      <c r="BU79" s="166"/>
      <c r="BV79" s="166"/>
      <c r="BW79" s="166"/>
      <c r="BX79" s="166"/>
      <c r="BY79" s="166"/>
      <c r="BZ79" s="166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66"/>
      <c r="CR79" s="166"/>
      <c r="CS79" s="166"/>
      <c r="CT79" s="166"/>
      <c r="CU79" s="166"/>
      <c r="CV79" s="166"/>
      <c r="CW79" s="166"/>
      <c r="CX79" s="166"/>
      <c r="CY79" s="166"/>
      <c r="CZ79" s="166"/>
    </row>
    <row r="80" spans="2:104" ht="15" customHeight="1" x14ac:dyDescent="0.25">
      <c r="B80" s="185" t="s">
        <v>323</v>
      </c>
      <c r="C80" s="216">
        <v>0</v>
      </c>
      <c r="D80" s="216">
        <v>0</v>
      </c>
      <c r="E80" s="216">
        <v>15</v>
      </c>
      <c r="F80" s="216">
        <v>1</v>
      </c>
      <c r="G80" s="216">
        <f t="shared" si="59"/>
        <v>1</v>
      </c>
      <c r="H80" s="217">
        <v>1</v>
      </c>
      <c r="AC80" s="166"/>
      <c r="AD80" s="166"/>
      <c r="AE80" s="166"/>
      <c r="AF80" s="166"/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6"/>
      <c r="BI80" s="166"/>
      <c r="BJ80" s="166"/>
      <c r="BK80" s="166"/>
      <c r="BL80" s="166"/>
      <c r="BM80" s="166"/>
      <c r="BN80" s="166"/>
      <c r="BO80" s="166"/>
      <c r="BP80" s="166"/>
      <c r="BQ80" s="166"/>
      <c r="BR80" s="166"/>
      <c r="BS80" s="166"/>
      <c r="BT80" s="166"/>
      <c r="BU80" s="166"/>
      <c r="BV80" s="166"/>
      <c r="BW80" s="166"/>
      <c r="BX80" s="166"/>
      <c r="BY80" s="166"/>
      <c r="BZ80" s="166"/>
      <c r="CA80" s="166"/>
      <c r="CB80" s="166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66"/>
      <c r="CR80" s="166"/>
      <c r="CS80" s="166"/>
      <c r="CT80" s="166"/>
      <c r="CU80" s="166"/>
      <c r="CV80" s="166"/>
      <c r="CW80" s="166"/>
      <c r="CX80" s="166"/>
      <c r="CY80" s="166"/>
      <c r="CZ80" s="166"/>
    </row>
    <row r="81" spans="2:104" ht="15" customHeight="1" x14ac:dyDescent="0.25">
      <c r="B81" s="184" t="s">
        <v>324</v>
      </c>
      <c r="C81" s="216">
        <v>9</v>
      </c>
      <c r="D81" s="216">
        <v>0.5</v>
      </c>
      <c r="E81" s="216">
        <v>16</v>
      </c>
      <c r="F81" s="216">
        <v>0.5</v>
      </c>
      <c r="G81" s="216">
        <f t="shared" si="59"/>
        <v>0</v>
      </c>
      <c r="H81" s="217">
        <v>1</v>
      </c>
      <c r="AC81" s="166"/>
      <c r="AD81" s="166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6"/>
      <c r="BI81" s="166"/>
      <c r="BJ81" s="166"/>
      <c r="BK81" s="166"/>
      <c r="BL81" s="166"/>
      <c r="BM81" s="166"/>
      <c r="BN81" s="166"/>
      <c r="BO81" s="166"/>
      <c r="BP81" s="166"/>
      <c r="BQ81" s="166"/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6"/>
      <c r="CN81" s="166"/>
      <c r="CO81" s="166"/>
      <c r="CP81" s="166"/>
      <c r="CQ81" s="166"/>
      <c r="CR81" s="166"/>
      <c r="CS81" s="166"/>
      <c r="CT81" s="166"/>
      <c r="CU81" s="166"/>
      <c r="CV81" s="166"/>
      <c r="CW81" s="166"/>
      <c r="CX81" s="166"/>
      <c r="CY81" s="166"/>
      <c r="CZ81" s="166"/>
    </row>
    <row r="82" spans="2:104" ht="15" customHeight="1" x14ac:dyDescent="0.2">
      <c r="B82" s="183" t="s">
        <v>556</v>
      </c>
      <c r="C82" s="214">
        <f>C83</f>
        <v>21</v>
      </c>
      <c r="D82" s="214">
        <f>SUM(D83:D85,D87,D89,)</f>
        <v>4.5</v>
      </c>
      <c r="E82" s="214">
        <f>E83</f>
        <v>21</v>
      </c>
      <c r="F82" s="214">
        <f>SUM(F83:F85,F87,F89,)</f>
        <v>9.5</v>
      </c>
      <c r="G82" s="226">
        <f>(F82-D82)/D82</f>
        <v>1.1111111111111112</v>
      </c>
      <c r="H82" s="217"/>
      <c r="AC82" s="166"/>
      <c r="AD82" s="166"/>
      <c r="AE82" s="166"/>
      <c r="AF82" s="166"/>
      <c r="AG82" s="166"/>
      <c r="AH82" s="166"/>
      <c r="AI82" s="166"/>
      <c r="AJ82" s="166"/>
      <c r="AK82" s="166"/>
      <c r="AL82" s="166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6"/>
      <c r="BI82" s="166"/>
      <c r="BJ82" s="166"/>
      <c r="BK82" s="166"/>
      <c r="BL82" s="166"/>
      <c r="BM82" s="166"/>
      <c r="BN82" s="166"/>
      <c r="BO82" s="166"/>
      <c r="BP82" s="166"/>
      <c r="BQ82" s="166"/>
      <c r="BR82" s="166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66"/>
      <c r="CR82" s="166"/>
      <c r="CS82" s="166"/>
      <c r="CT82" s="166"/>
      <c r="CU82" s="166"/>
      <c r="CV82" s="166"/>
      <c r="CW82" s="166"/>
      <c r="CX82" s="166"/>
      <c r="CY82" s="166"/>
      <c r="CZ82" s="166"/>
    </row>
    <row r="83" spans="2:104" ht="15" customHeight="1" x14ac:dyDescent="0.25">
      <c r="B83" s="184" t="s">
        <v>318</v>
      </c>
      <c r="C83" s="216">
        <v>21</v>
      </c>
      <c r="D83" s="216">
        <v>1</v>
      </c>
      <c r="E83" s="216">
        <v>21</v>
      </c>
      <c r="F83" s="216">
        <v>2</v>
      </c>
      <c r="G83" s="216">
        <f>F83-D83</f>
        <v>1</v>
      </c>
      <c r="H83" s="217">
        <v>1</v>
      </c>
      <c r="AC83" s="166"/>
      <c r="AD83" s="166"/>
      <c r="AE83" s="166"/>
      <c r="AF83" s="166"/>
      <c r="AG83" s="166"/>
      <c r="AH83" s="166"/>
      <c r="AI83" s="166"/>
      <c r="AJ83" s="166"/>
      <c r="AK83" s="166"/>
      <c r="AL83" s="166"/>
      <c r="AM83" s="166"/>
      <c r="AN83" s="166"/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6"/>
      <c r="CM83" s="166"/>
      <c r="CN83" s="166"/>
      <c r="CO83" s="166"/>
      <c r="CP83" s="166"/>
      <c r="CQ83" s="166"/>
      <c r="CR83" s="166"/>
      <c r="CS83" s="166"/>
      <c r="CT83" s="166"/>
      <c r="CU83" s="166"/>
      <c r="CV83" s="166"/>
      <c r="CW83" s="166"/>
      <c r="CX83" s="166"/>
      <c r="CY83" s="166"/>
      <c r="CZ83" s="166"/>
    </row>
    <row r="84" spans="2:104" ht="15" customHeight="1" x14ac:dyDescent="0.25">
      <c r="B84" s="184" t="s">
        <v>319</v>
      </c>
      <c r="C84" s="216">
        <v>22</v>
      </c>
      <c r="D84" s="216">
        <v>1</v>
      </c>
      <c r="E84" s="216">
        <v>22</v>
      </c>
      <c r="F84" s="216">
        <v>1</v>
      </c>
      <c r="G84" s="216">
        <f>F84-D84</f>
        <v>0</v>
      </c>
      <c r="H84" s="217">
        <v>1</v>
      </c>
      <c r="AC84" s="166"/>
      <c r="AD84" s="166"/>
      <c r="AE84" s="166"/>
      <c r="AF84" s="166"/>
      <c r="AG84" s="166"/>
      <c r="AH84" s="166"/>
      <c r="AI84" s="166"/>
      <c r="AJ84" s="166"/>
      <c r="AK84" s="166"/>
      <c r="AL84" s="166"/>
      <c r="AM84" s="166"/>
      <c r="AN84" s="166"/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6"/>
      <c r="BI84" s="166"/>
      <c r="BJ84" s="166"/>
      <c r="BK84" s="166"/>
      <c r="BL84" s="166"/>
      <c r="BM84" s="166"/>
      <c r="BN84" s="166"/>
      <c r="BO84" s="166"/>
      <c r="BP84" s="166"/>
      <c r="BQ84" s="166"/>
      <c r="BR84" s="166"/>
      <c r="BS84" s="166"/>
      <c r="BT84" s="166"/>
      <c r="BU84" s="166"/>
      <c r="BV84" s="166"/>
      <c r="BW84" s="166"/>
      <c r="BX84" s="166"/>
      <c r="BY84" s="166"/>
      <c r="BZ84" s="166"/>
      <c r="CA84" s="166"/>
      <c r="CB84" s="166"/>
      <c r="CC84" s="166"/>
      <c r="CD84" s="166"/>
      <c r="CE84" s="166"/>
      <c r="CF84" s="166"/>
      <c r="CG84" s="166"/>
      <c r="CH84" s="166"/>
      <c r="CI84" s="166"/>
      <c r="CJ84" s="166"/>
      <c r="CK84" s="166"/>
      <c r="CL84" s="166"/>
      <c r="CM84" s="166"/>
      <c r="CN84" s="166"/>
      <c r="CO84" s="166"/>
      <c r="CP84" s="166"/>
      <c r="CQ84" s="166"/>
      <c r="CR84" s="166"/>
      <c r="CS84" s="166"/>
      <c r="CT84" s="166"/>
      <c r="CU84" s="166"/>
      <c r="CV84" s="166"/>
      <c r="CW84" s="166"/>
      <c r="CX84" s="166"/>
      <c r="CY84" s="166"/>
      <c r="CZ84" s="166"/>
    </row>
    <row r="85" spans="2:104" ht="15" customHeight="1" x14ac:dyDescent="0.25">
      <c r="B85" s="184" t="s">
        <v>320</v>
      </c>
      <c r="C85" s="216">
        <v>22</v>
      </c>
      <c r="D85" s="216">
        <v>1</v>
      </c>
      <c r="E85" s="216">
        <v>22</v>
      </c>
      <c r="F85" s="216">
        <v>1</v>
      </c>
      <c r="G85" s="216">
        <f>F85-D85</f>
        <v>0</v>
      </c>
      <c r="H85" s="217">
        <v>1</v>
      </c>
      <c r="AC85" s="166"/>
      <c r="AD85" s="166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6"/>
      <c r="BI85" s="166"/>
      <c r="BJ85" s="166"/>
      <c r="BK85" s="166"/>
      <c r="BL85" s="166"/>
      <c r="BM85" s="166"/>
      <c r="BN85" s="166"/>
      <c r="BO85" s="166"/>
      <c r="BP85" s="166"/>
      <c r="BQ85" s="166"/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66"/>
      <c r="CR85" s="166"/>
      <c r="CS85" s="166"/>
      <c r="CT85" s="166"/>
      <c r="CU85" s="166"/>
      <c r="CV85" s="166"/>
      <c r="CW85" s="166"/>
      <c r="CX85" s="166"/>
      <c r="CY85" s="166"/>
      <c r="CZ85" s="166"/>
    </row>
    <row r="86" spans="2:104" ht="15" customHeight="1" x14ac:dyDescent="0.25">
      <c r="B86" s="186" t="s">
        <v>325</v>
      </c>
      <c r="C86" s="219">
        <v>23</v>
      </c>
      <c r="D86" s="220">
        <v>1</v>
      </c>
      <c r="E86" s="220">
        <v>23</v>
      </c>
      <c r="F86" s="220">
        <v>1</v>
      </c>
      <c r="G86" s="222">
        <f>D86-F86</f>
        <v>0</v>
      </c>
      <c r="H86" s="217">
        <v>1</v>
      </c>
      <c r="AC86" s="166"/>
      <c r="AD86" s="166"/>
      <c r="AE86" s="166"/>
      <c r="AF86" s="166"/>
      <c r="AG86" s="166"/>
      <c r="AH86" s="166"/>
      <c r="AI86" s="166"/>
      <c r="AJ86" s="166"/>
      <c r="AK86" s="166"/>
      <c r="AL86" s="166"/>
      <c r="AM86" s="166"/>
      <c r="AN86" s="166"/>
      <c r="AO86" s="166"/>
      <c r="AP86" s="166"/>
      <c r="AQ86" s="166"/>
      <c r="AR86" s="166"/>
      <c r="AS86" s="166"/>
      <c r="AT86" s="166"/>
      <c r="AU86" s="166"/>
      <c r="AV86" s="166"/>
      <c r="AW86" s="166"/>
      <c r="AX86" s="166"/>
      <c r="AY86" s="166"/>
      <c r="AZ86" s="166"/>
      <c r="BA86" s="166"/>
      <c r="BB86" s="166"/>
      <c r="BC86" s="166"/>
      <c r="BD86" s="166"/>
      <c r="BE86" s="166"/>
      <c r="BF86" s="166"/>
      <c r="BG86" s="166"/>
      <c r="BH86" s="166"/>
      <c r="BI86" s="166"/>
      <c r="BJ86" s="166"/>
      <c r="BK86" s="166"/>
      <c r="BL86" s="166"/>
      <c r="BM86" s="166"/>
      <c r="BN86" s="166"/>
      <c r="BO86" s="166"/>
      <c r="BP86" s="166"/>
      <c r="BQ86" s="166"/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</row>
    <row r="87" spans="2:104" ht="15" customHeight="1" x14ac:dyDescent="0.25">
      <c r="B87" s="184" t="s">
        <v>308</v>
      </c>
      <c r="C87" s="216">
        <v>23</v>
      </c>
      <c r="D87" s="216">
        <v>1</v>
      </c>
      <c r="E87" s="216">
        <v>24</v>
      </c>
      <c r="F87" s="216">
        <f>SUM(F88)</f>
        <v>5</v>
      </c>
      <c r="G87" s="216">
        <f t="shared" ref="G87:G100" si="60">F87-D87</f>
        <v>4</v>
      </c>
      <c r="H87" s="217">
        <v>1</v>
      </c>
      <c r="AC87" s="166"/>
      <c r="AD87" s="166"/>
      <c r="AE87" s="166"/>
      <c r="AF87" s="166"/>
      <c r="AG87" s="166"/>
      <c r="AH87" s="166"/>
      <c r="AI87" s="166"/>
      <c r="AJ87" s="166"/>
      <c r="AK87" s="166"/>
      <c r="AL87" s="166"/>
      <c r="AM87" s="166"/>
      <c r="AN87" s="166"/>
      <c r="AO87" s="166"/>
      <c r="AP87" s="166"/>
      <c r="AQ87" s="166"/>
      <c r="AR87" s="166"/>
      <c r="AS87" s="166"/>
      <c r="AT87" s="166"/>
      <c r="AU87" s="166"/>
      <c r="AV87" s="166"/>
      <c r="AW87" s="166"/>
      <c r="AX87" s="166"/>
      <c r="AY87" s="166"/>
      <c r="AZ87" s="166"/>
      <c r="BA87" s="166"/>
      <c r="BB87" s="166"/>
      <c r="BC87" s="166"/>
      <c r="BD87" s="166"/>
      <c r="BE87" s="166"/>
      <c r="BF87" s="166"/>
      <c r="BG87" s="166"/>
      <c r="BH87" s="166"/>
      <c r="BI87" s="166"/>
      <c r="BJ87" s="166"/>
      <c r="BK87" s="166"/>
      <c r="BL87" s="166"/>
      <c r="BM87" s="166"/>
      <c r="BN87" s="166"/>
      <c r="BO87" s="166"/>
      <c r="BP87" s="166"/>
      <c r="BQ87" s="166"/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6"/>
      <c r="CN87" s="166"/>
      <c r="CO87" s="166"/>
      <c r="CP87" s="166"/>
      <c r="CQ87" s="166"/>
      <c r="CR87" s="166"/>
      <c r="CS87" s="166"/>
      <c r="CT87" s="166"/>
      <c r="CU87" s="166"/>
      <c r="CV87" s="166"/>
      <c r="CW87" s="166"/>
      <c r="CX87" s="166"/>
      <c r="CY87" s="166"/>
      <c r="CZ87" s="166"/>
    </row>
    <row r="88" spans="2:104" ht="15" customHeight="1" x14ac:dyDescent="0.25">
      <c r="B88" s="185" t="s">
        <v>312</v>
      </c>
      <c r="C88" s="216">
        <v>23</v>
      </c>
      <c r="D88" s="216">
        <v>1</v>
      </c>
      <c r="E88" s="216">
        <v>24</v>
      </c>
      <c r="F88" s="216">
        <v>5</v>
      </c>
      <c r="G88" s="216">
        <f t="shared" si="60"/>
        <v>4</v>
      </c>
      <c r="H88" s="217">
        <v>1</v>
      </c>
      <c r="AC88" s="166"/>
      <c r="AD88" s="166"/>
      <c r="AE88" s="166"/>
      <c r="AF88" s="166"/>
      <c r="AG88" s="166"/>
      <c r="AH88" s="166"/>
      <c r="AI88" s="166"/>
      <c r="AJ88" s="166"/>
      <c r="AK88" s="166"/>
      <c r="AL88" s="166"/>
      <c r="AM88" s="166"/>
      <c r="AN88" s="166"/>
      <c r="AO88" s="166"/>
      <c r="AP88" s="166"/>
      <c r="AQ88" s="166"/>
      <c r="AR88" s="166"/>
      <c r="AS88" s="166"/>
      <c r="AT88" s="166"/>
      <c r="AU88" s="166"/>
      <c r="AV88" s="166"/>
      <c r="AW88" s="166"/>
      <c r="AX88" s="166"/>
      <c r="AY88" s="166"/>
      <c r="AZ88" s="166"/>
      <c r="BA88" s="166"/>
      <c r="BB88" s="166"/>
      <c r="BC88" s="166"/>
      <c r="BD88" s="166"/>
      <c r="BE88" s="166"/>
      <c r="BF88" s="166"/>
      <c r="BG88" s="166"/>
      <c r="BH88" s="166"/>
      <c r="BI88" s="166"/>
      <c r="BJ88" s="166"/>
      <c r="BK88" s="166"/>
      <c r="BL88" s="166"/>
      <c r="BM88" s="166"/>
      <c r="BN88" s="166"/>
      <c r="BO88" s="166"/>
      <c r="BP88" s="166"/>
      <c r="BQ88" s="166"/>
      <c r="BR88" s="166"/>
      <c r="BS88" s="166"/>
      <c r="BT88" s="166"/>
      <c r="BU88" s="166"/>
      <c r="BV88" s="166"/>
      <c r="BW88" s="166"/>
      <c r="BX88" s="166"/>
      <c r="BY88" s="166"/>
      <c r="BZ88" s="166"/>
      <c r="CA88" s="166"/>
      <c r="CB88" s="166"/>
      <c r="CC88" s="166"/>
      <c r="CD88" s="166"/>
      <c r="CE88" s="166"/>
      <c r="CF88" s="166"/>
      <c r="CG88" s="166"/>
      <c r="CH88" s="166"/>
      <c r="CI88" s="166"/>
      <c r="CJ88" s="166"/>
      <c r="CK88" s="166"/>
      <c r="CL88" s="166"/>
      <c r="CM88" s="166"/>
      <c r="CN88" s="166"/>
      <c r="CO88" s="166"/>
      <c r="CP88" s="166"/>
      <c r="CQ88" s="166"/>
      <c r="CR88" s="166"/>
      <c r="CS88" s="166"/>
      <c r="CT88" s="166"/>
      <c r="CU88" s="166"/>
      <c r="CV88" s="166"/>
      <c r="CW88" s="166"/>
      <c r="CX88" s="166"/>
      <c r="CY88" s="166"/>
      <c r="CZ88" s="166"/>
    </row>
    <row r="89" spans="2:104" ht="15" customHeight="1" x14ac:dyDescent="0.25">
      <c r="B89" s="184" t="s">
        <v>324</v>
      </c>
      <c r="C89" s="216">
        <v>25</v>
      </c>
      <c r="D89" s="216">
        <v>0.5</v>
      </c>
      <c r="E89" s="216">
        <v>25</v>
      </c>
      <c r="F89" s="216">
        <v>0.5</v>
      </c>
      <c r="G89" s="216">
        <f t="shared" si="60"/>
        <v>0</v>
      </c>
      <c r="H89" s="217">
        <v>1</v>
      </c>
      <c r="AC89" s="166"/>
      <c r="AD89" s="166"/>
      <c r="AE89" s="166"/>
      <c r="AF89" s="166"/>
      <c r="AG89" s="166"/>
      <c r="AH89" s="166"/>
      <c r="AI89" s="166"/>
      <c r="AJ89" s="166"/>
      <c r="AK89" s="166"/>
      <c r="AL89" s="166"/>
      <c r="AM89" s="166"/>
      <c r="AN89" s="166"/>
      <c r="AO89" s="166"/>
      <c r="AP89" s="166"/>
      <c r="AQ89" s="166"/>
      <c r="AR89" s="166"/>
      <c r="AS89" s="166"/>
      <c r="AT89" s="166"/>
      <c r="AU89" s="166"/>
      <c r="AV89" s="166"/>
      <c r="AW89" s="166"/>
      <c r="AX89" s="166"/>
      <c r="AY89" s="166"/>
      <c r="AZ89" s="166"/>
      <c r="BA89" s="166"/>
      <c r="BB89" s="166"/>
      <c r="BC89" s="166"/>
      <c r="BD89" s="166"/>
      <c r="BE89" s="166"/>
      <c r="BF89" s="166"/>
      <c r="BG89" s="166"/>
      <c r="BH89" s="166"/>
      <c r="BI89" s="166"/>
      <c r="BJ89" s="166"/>
      <c r="BK89" s="166"/>
      <c r="BL89" s="166"/>
      <c r="BM89" s="166"/>
      <c r="BN89" s="166"/>
      <c r="BO89" s="166"/>
      <c r="BP89" s="166"/>
      <c r="BQ89" s="166"/>
      <c r="BR89" s="166"/>
      <c r="BS89" s="166"/>
      <c r="BT89" s="166"/>
      <c r="BU89" s="166"/>
      <c r="BV89" s="166"/>
      <c r="BW89" s="166"/>
      <c r="BX89" s="166"/>
      <c r="BY89" s="166"/>
      <c r="BZ89" s="166"/>
      <c r="CA89" s="166"/>
      <c r="CB89" s="166"/>
      <c r="CC89" s="166"/>
      <c r="CD89" s="166"/>
      <c r="CE89" s="166"/>
      <c r="CF89" s="166"/>
      <c r="CG89" s="166"/>
      <c r="CH89" s="166"/>
      <c r="CI89" s="166"/>
      <c r="CJ89" s="166"/>
      <c r="CK89" s="166"/>
      <c r="CL89" s="166"/>
      <c r="CM89" s="166"/>
      <c r="CN89" s="166"/>
      <c r="CO89" s="166"/>
      <c r="CP89" s="166"/>
      <c r="CQ89" s="166"/>
      <c r="CR89" s="166"/>
      <c r="CS89" s="166"/>
      <c r="CT89" s="166"/>
      <c r="CU89" s="166"/>
      <c r="CV89" s="166"/>
      <c r="CW89" s="166"/>
      <c r="CX89" s="166"/>
      <c r="CY89" s="166"/>
      <c r="CZ89" s="166"/>
    </row>
    <row r="90" spans="2:104" ht="15" customHeight="1" x14ac:dyDescent="0.2">
      <c r="B90" s="183" t="s">
        <v>326</v>
      </c>
      <c r="C90" s="214">
        <f>C91</f>
        <v>20</v>
      </c>
      <c r="D90" s="214">
        <f>SUM(D91:D96)</f>
        <v>6</v>
      </c>
      <c r="E90" s="214">
        <f>E91</f>
        <v>20</v>
      </c>
      <c r="F90" s="214">
        <f>SUM(F91:F96)</f>
        <v>14</v>
      </c>
      <c r="G90" s="226">
        <f>(F90-D90)/D90</f>
        <v>1.3333333333333333</v>
      </c>
      <c r="H90" s="217"/>
      <c r="AC90" s="166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  <c r="AN90" s="166"/>
      <c r="AO90" s="166"/>
      <c r="AP90" s="166"/>
      <c r="AQ90" s="166"/>
      <c r="AR90" s="166"/>
      <c r="AS90" s="166"/>
      <c r="AT90" s="166"/>
      <c r="AU90" s="166"/>
      <c r="AV90" s="166"/>
      <c r="AW90" s="166"/>
      <c r="AX90" s="166"/>
      <c r="AY90" s="166"/>
      <c r="AZ90" s="166"/>
      <c r="BA90" s="166"/>
      <c r="BB90" s="166"/>
      <c r="BC90" s="166"/>
      <c r="BD90" s="166"/>
      <c r="BE90" s="166"/>
      <c r="BF90" s="166"/>
      <c r="BG90" s="166"/>
      <c r="BH90" s="166"/>
      <c r="BI90" s="166"/>
      <c r="BJ90" s="166"/>
      <c r="BK90" s="166"/>
      <c r="BL90" s="166"/>
      <c r="BM90" s="166"/>
      <c r="BN90" s="166"/>
      <c r="BO90" s="166"/>
      <c r="BP90" s="166"/>
      <c r="BQ90" s="166"/>
      <c r="BR90" s="166"/>
      <c r="BS90" s="166"/>
      <c r="BT90" s="166"/>
      <c r="BU90" s="166"/>
      <c r="BV90" s="166"/>
      <c r="BW90" s="166"/>
      <c r="BX90" s="166"/>
      <c r="BY90" s="166"/>
      <c r="BZ90" s="166"/>
      <c r="CA90" s="166"/>
      <c r="CB90" s="166"/>
      <c r="CC90" s="166"/>
      <c r="CD90" s="166"/>
      <c r="CE90" s="166"/>
      <c r="CF90" s="166"/>
      <c r="CG90" s="166"/>
      <c r="CH90" s="166"/>
      <c r="CI90" s="166"/>
      <c r="CJ90" s="166"/>
      <c r="CK90" s="166"/>
      <c r="CL90" s="166"/>
      <c r="CM90" s="166"/>
      <c r="CN90" s="166"/>
      <c r="CO90" s="166"/>
      <c r="CP90" s="166"/>
      <c r="CQ90" s="166"/>
      <c r="CR90" s="166"/>
      <c r="CS90" s="166"/>
      <c r="CT90" s="166"/>
      <c r="CU90" s="166"/>
      <c r="CV90" s="166"/>
      <c r="CW90" s="166"/>
      <c r="CX90" s="166"/>
      <c r="CY90" s="166"/>
      <c r="CZ90" s="166"/>
    </row>
    <row r="91" spans="2:104" ht="15" customHeight="1" x14ac:dyDescent="0.25">
      <c r="B91" s="184" t="s">
        <v>327</v>
      </c>
      <c r="C91" s="216">
        <v>20</v>
      </c>
      <c r="D91" s="216">
        <v>1</v>
      </c>
      <c r="E91" s="216">
        <v>20</v>
      </c>
      <c r="F91" s="216">
        <v>2</v>
      </c>
      <c r="G91" s="216">
        <f t="shared" si="60"/>
        <v>1</v>
      </c>
      <c r="H91" s="217">
        <v>1</v>
      </c>
      <c r="AC91" s="166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  <c r="AN91" s="166"/>
      <c r="AO91" s="166"/>
      <c r="AP91" s="166"/>
      <c r="AQ91" s="166"/>
      <c r="AR91" s="166"/>
      <c r="AS91" s="166"/>
      <c r="AT91" s="166"/>
      <c r="AU91" s="166"/>
      <c r="AV91" s="166"/>
      <c r="AW91" s="166"/>
      <c r="AX91" s="166"/>
      <c r="AY91" s="166"/>
      <c r="AZ91" s="166"/>
      <c r="BA91" s="166"/>
      <c r="BB91" s="166"/>
      <c r="BC91" s="166"/>
      <c r="BD91" s="166"/>
      <c r="BE91" s="166"/>
      <c r="BF91" s="166"/>
      <c r="BG91" s="166"/>
      <c r="BH91" s="166"/>
      <c r="BI91" s="166"/>
      <c r="BJ91" s="166"/>
      <c r="BK91" s="166"/>
      <c r="BL91" s="166"/>
      <c r="BM91" s="166"/>
      <c r="BN91" s="166"/>
      <c r="BO91" s="166"/>
      <c r="BP91" s="166"/>
      <c r="BQ91" s="166"/>
      <c r="BR91" s="166"/>
      <c r="BS91" s="166"/>
      <c r="BT91" s="166"/>
      <c r="BU91" s="166"/>
      <c r="BV91" s="166"/>
      <c r="BW91" s="166"/>
      <c r="BX91" s="166"/>
      <c r="BY91" s="166"/>
      <c r="BZ91" s="166"/>
      <c r="CA91" s="166"/>
      <c r="CB91" s="166"/>
      <c r="CC91" s="166"/>
      <c r="CD91" s="166"/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66"/>
      <c r="CR91" s="166"/>
      <c r="CS91" s="166"/>
      <c r="CT91" s="166"/>
      <c r="CU91" s="166"/>
      <c r="CV91" s="166"/>
      <c r="CW91" s="166"/>
      <c r="CX91" s="166"/>
      <c r="CY91" s="166"/>
      <c r="CZ91" s="166"/>
    </row>
    <row r="92" spans="2:104" ht="15" customHeight="1" x14ac:dyDescent="0.25">
      <c r="B92" s="184" t="s">
        <v>328</v>
      </c>
      <c r="C92" s="216">
        <v>20</v>
      </c>
      <c r="D92" s="216">
        <v>1</v>
      </c>
      <c r="E92" s="216">
        <v>20</v>
      </c>
      <c r="F92" s="216">
        <v>2</v>
      </c>
      <c r="G92" s="216">
        <f t="shared" si="60"/>
        <v>1</v>
      </c>
      <c r="H92" s="217">
        <v>1</v>
      </c>
      <c r="AC92" s="166"/>
      <c r="AD92" s="166"/>
      <c r="AE92" s="166"/>
      <c r="AF92" s="166"/>
      <c r="AG92" s="166"/>
      <c r="AH92" s="166"/>
      <c r="AI92" s="166"/>
      <c r="AJ92" s="166"/>
      <c r="AK92" s="166"/>
      <c r="AL92" s="166"/>
      <c r="AM92" s="166"/>
      <c r="AN92" s="166"/>
      <c r="AO92" s="166"/>
      <c r="AP92" s="166"/>
      <c r="AQ92" s="166"/>
      <c r="AR92" s="166"/>
      <c r="AS92" s="166"/>
      <c r="AT92" s="166"/>
      <c r="AU92" s="166"/>
      <c r="AV92" s="166"/>
      <c r="AW92" s="166"/>
      <c r="AX92" s="166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66"/>
      <c r="CR92" s="166"/>
      <c r="CS92" s="166"/>
      <c r="CT92" s="166"/>
      <c r="CU92" s="166"/>
      <c r="CV92" s="166"/>
      <c r="CW92" s="166"/>
      <c r="CX92" s="166"/>
      <c r="CY92" s="166"/>
      <c r="CZ92" s="166"/>
    </row>
    <row r="93" spans="2:104" ht="15" customHeight="1" x14ac:dyDescent="0.25">
      <c r="B93" s="184" t="s">
        <v>329</v>
      </c>
      <c r="C93" s="216">
        <v>22</v>
      </c>
      <c r="D93" s="216">
        <v>1</v>
      </c>
      <c r="E93" s="216">
        <v>22</v>
      </c>
      <c r="F93" s="216">
        <v>2</v>
      </c>
      <c r="G93" s="216">
        <f t="shared" si="60"/>
        <v>1</v>
      </c>
      <c r="H93" s="217">
        <v>1</v>
      </c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166"/>
      <c r="AO93" s="166"/>
      <c r="AP93" s="166"/>
      <c r="AQ93" s="166"/>
      <c r="AR93" s="166"/>
      <c r="AS93" s="166"/>
      <c r="AT93" s="166"/>
      <c r="AU93" s="166"/>
      <c r="AV93" s="166"/>
      <c r="AW93" s="166"/>
      <c r="AX93" s="166"/>
      <c r="AY93" s="166"/>
      <c r="AZ93" s="166"/>
      <c r="BA93" s="166"/>
      <c r="BB93" s="166"/>
      <c r="BC93" s="166"/>
      <c r="BD93" s="166"/>
      <c r="BE93" s="166"/>
      <c r="BF93" s="166"/>
      <c r="BG93" s="166"/>
      <c r="BH93" s="166"/>
      <c r="BI93" s="166"/>
      <c r="BJ93" s="166"/>
      <c r="BK93" s="166"/>
      <c r="BL93" s="166"/>
      <c r="BM93" s="166"/>
      <c r="BN93" s="166"/>
      <c r="BO93" s="166"/>
      <c r="BP93" s="166"/>
      <c r="BQ93" s="166"/>
      <c r="BR93" s="166"/>
      <c r="BS93" s="166"/>
      <c r="BT93" s="166"/>
      <c r="BU93" s="166"/>
      <c r="BV93" s="166"/>
      <c r="BW93" s="166"/>
      <c r="BX93" s="166"/>
      <c r="BY93" s="166"/>
      <c r="BZ93" s="166"/>
      <c r="CA93" s="166"/>
      <c r="CB93" s="166"/>
      <c r="CC93" s="166"/>
      <c r="CD93" s="166"/>
      <c r="CE93" s="166"/>
      <c r="CF93" s="166"/>
      <c r="CG93" s="166"/>
      <c r="CH93" s="166"/>
      <c r="CI93" s="166"/>
      <c r="CJ93" s="166"/>
      <c r="CK93" s="166"/>
      <c r="CL93" s="166"/>
      <c r="CM93" s="166"/>
      <c r="CN93" s="166"/>
      <c r="CO93" s="166"/>
      <c r="CP93" s="166"/>
      <c r="CQ93" s="166"/>
      <c r="CR93" s="166"/>
      <c r="CS93" s="166"/>
      <c r="CT93" s="166"/>
      <c r="CU93" s="166"/>
      <c r="CV93" s="166"/>
      <c r="CW93" s="166"/>
      <c r="CX93" s="166"/>
      <c r="CY93" s="166"/>
      <c r="CZ93" s="166"/>
    </row>
    <row r="94" spans="2:104" ht="15" customHeight="1" x14ac:dyDescent="0.25">
      <c r="B94" s="184" t="s">
        <v>330</v>
      </c>
      <c r="C94" s="216">
        <v>22</v>
      </c>
      <c r="D94" s="216">
        <v>1</v>
      </c>
      <c r="E94" s="216">
        <v>23</v>
      </c>
      <c r="F94" s="216">
        <v>1</v>
      </c>
      <c r="G94" s="216">
        <f t="shared" si="60"/>
        <v>0</v>
      </c>
      <c r="H94" s="217">
        <v>1</v>
      </c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166"/>
      <c r="AO94" s="166"/>
      <c r="AP94" s="166"/>
      <c r="AQ94" s="166"/>
      <c r="AR94" s="166"/>
      <c r="AS94" s="166"/>
      <c r="AT94" s="166"/>
      <c r="AU94" s="166"/>
      <c r="AV94" s="166"/>
      <c r="AW94" s="166"/>
      <c r="AX94" s="166"/>
      <c r="AY94" s="166"/>
      <c r="AZ94" s="166"/>
      <c r="BA94" s="166"/>
      <c r="BB94" s="166"/>
      <c r="BC94" s="166"/>
      <c r="BD94" s="166"/>
      <c r="BE94" s="166"/>
      <c r="BF94" s="166"/>
      <c r="BG94" s="166"/>
      <c r="BH94" s="166"/>
      <c r="BI94" s="166"/>
      <c r="BJ94" s="166"/>
      <c r="BK94" s="166"/>
      <c r="BL94" s="166"/>
      <c r="BM94" s="166"/>
      <c r="BN94" s="166"/>
      <c r="BO94" s="166"/>
      <c r="BP94" s="166"/>
      <c r="BQ94" s="166"/>
      <c r="BR94" s="166"/>
      <c r="BS94" s="166"/>
      <c r="BT94" s="166"/>
      <c r="BU94" s="166"/>
      <c r="BV94" s="166"/>
      <c r="BW94" s="166"/>
      <c r="BX94" s="166"/>
      <c r="BY94" s="166"/>
      <c r="BZ94" s="166"/>
      <c r="CA94" s="166"/>
      <c r="CB94" s="166"/>
      <c r="CC94" s="166"/>
      <c r="CD94" s="166"/>
      <c r="CE94" s="166"/>
      <c r="CF94" s="166"/>
      <c r="CG94" s="166"/>
      <c r="CH94" s="166"/>
      <c r="CI94" s="166"/>
      <c r="CJ94" s="166"/>
      <c r="CK94" s="166"/>
      <c r="CL94" s="166"/>
      <c r="CM94" s="166"/>
      <c r="CN94" s="166"/>
      <c r="CO94" s="166"/>
      <c r="CP94" s="166"/>
      <c r="CQ94" s="166"/>
      <c r="CR94" s="166"/>
      <c r="CS94" s="166"/>
      <c r="CT94" s="166"/>
      <c r="CU94" s="166"/>
      <c r="CV94" s="166"/>
      <c r="CW94" s="166"/>
      <c r="CX94" s="166"/>
      <c r="CY94" s="166"/>
      <c r="CZ94" s="166"/>
    </row>
    <row r="95" spans="2:104" ht="15" customHeight="1" x14ac:dyDescent="0.25">
      <c r="B95" s="184" t="s">
        <v>370</v>
      </c>
      <c r="C95" s="216">
        <v>23</v>
      </c>
      <c r="D95" s="216">
        <v>1</v>
      </c>
      <c r="E95" s="216">
        <v>24</v>
      </c>
      <c r="F95" s="216">
        <v>1</v>
      </c>
      <c r="G95" s="216">
        <f t="shared" si="60"/>
        <v>0</v>
      </c>
      <c r="H95" s="217">
        <v>1</v>
      </c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166"/>
      <c r="AO95" s="166"/>
      <c r="AP95" s="166"/>
      <c r="AQ95" s="166"/>
      <c r="AR95" s="166"/>
      <c r="AS95" s="166"/>
      <c r="AT95" s="166"/>
      <c r="AU95" s="166"/>
      <c r="AV95" s="166"/>
      <c r="AW95" s="166"/>
      <c r="AX95" s="166"/>
      <c r="AY95" s="166"/>
      <c r="AZ95" s="166"/>
      <c r="BA95" s="166"/>
      <c r="BB95" s="166"/>
      <c r="BC95" s="166"/>
      <c r="BD95" s="166"/>
      <c r="BE95" s="166"/>
      <c r="BF95" s="166"/>
      <c r="BG95" s="166"/>
      <c r="BH95" s="166"/>
      <c r="BI95" s="166"/>
      <c r="BJ95" s="166"/>
      <c r="BK95" s="166"/>
      <c r="BL95" s="166"/>
      <c r="BM95" s="166"/>
      <c r="BN95" s="166"/>
      <c r="BO95" s="166"/>
      <c r="BP95" s="166"/>
      <c r="BQ95" s="166"/>
      <c r="BR95" s="166"/>
      <c r="BS95" s="166"/>
      <c r="BT95" s="166"/>
      <c r="BU95" s="166"/>
      <c r="BV95" s="166"/>
      <c r="BW95" s="166"/>
      <c r="BX95" s="166"/>
      <c r="BY95" s="166"/>
      <c r="BZ95" s="166"/>
      <c r="CA95" s="166"/>
      <c r="CB95" s="166"/>
      <c r="CC95" s="166"/>
      <c r="CD95" s="166"/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66"/>
      <c r="CR95" s="166"/>
      <c r="CS95" s="166"/>
      <c r="CT95" s="166"/>
      <c r="CU95" s="166"/>
      <c r="CV95" s="166"/>
      <c r="CW95" s="166"/>
      <c r="CX95" s="166"/>
      <c r="CY95" s="166"/>
      <c r="CZ95" s="166"/>
    </row>
    <row r="96" spans="2:104" ht="15" customHeight="1" x14ac:dyDescent="0.25">
      <c r="B96" s="184" t="s">
        <v>371</v>
      </c>
      <c r="C96" s="216">
        <v>24</v>
      </c>
      <c r="D96" s="216">
        <v>1</v>
      </c>
      <c r="E96" s="216">
        <v>24</v>
      </c>
      <c r="F96" s="216">
        <v>6</v>
      </c>
      <c r="G96" s="216">
        <f>F96-D96</f>
        <v>5</v>
      </c>
      <c r="H96" s="217">
        <v>1</v>
      </c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6"/>
      <c r="CT96" s="166"/>
      <c r="CU96" s="166"/>
      <c r="CV96" s="166"/>
      <c r="CW96" s="166"/>
      <c r="CX96" s="166"/>
      <c r="CY96" s="166"/>
      <c r="CZ96" s="166"/>
    </row>
    <row r="97" spans="2:104" ht="15" customHeight="1" x14ac:dyDescent="0.2">
      <c r="B97" s="183" t="s">
        <v>355</v>
      </c>
      <c r="C97" s="214">
        <f>C98</f>
        <v>24</v>
      </c>
      <c r="D97" s="214">
        <f>SUM(D98:D102)</f>
        <v>1.25</v>
      </c>
      <c r="E97" s="214">
        <f>E98</f>
        <v>24</v>
      </c>
      <c r="F97" s="214">
        <f>SUM(F98:F102)</f>
        <v>9.25</v>
      </c>
      <c r="G97" s="226">
        <f>(F97-D97)/D97</f>
        <v>6.4</v>
      </c>
      <c r="H97" s="217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6"/>
      <c r="CT97" s="166"/>
      <c r="CU97" s="166"/>
      <c r="CV97" s="166"/>
      <c r="CW97" s="166"/>
      <c r="CX97" s="166"/>
      <c r="CY97" s="166"/>
      <c r="CZ97" s="166"/>
    </row>
    <row r="98" spans="2:104" ht="15" customHeight="1" x14ac:dyDescent="0.25">
      <c r="B98" s="184" t="s">
        <v>331</v>
      </c>
      <c r="C98" s="216">
        <v>24</v>
      </c>
      <c r="D98" s="216">
        <v>0.25</v>
      </c>
      <c r="E98" s="216">
        <v>24</v>
      </c>
      <c r="F98" s="216">
        <v>1</v>
      </c>
      <c r="G98" s="216">
        <f t="shared" si="60"/>
        <v>0.75</v>
      </c>
      <c r="H98" s="217">
        <v>1</v>
      </c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6"/>
      <c r="BD98" s="166"/>
      <c r="BE98" s="166"/>
      <c r="BF98" s="166"/>
      <c r="BG98" s="166"/>
      <c r="BH98" s="166"/>
      <c r="BI98" s="166"/>
      <c r="BJ98" s="166"/>
      <c r="BK98" s="166"/>
      <c r="BL98" s="166"/>
      <c r="BM98" s="166"/>
      <c r="BN98" s="166"/>
      <c r="BO98" s="166"/>
      <c r="BP98" s="166"/>
      <c r="BQ98" s="166"/>
      <c r="BR98" s="166"/>
      <c r="BS98" s="166"/>
      <c r="BT98" s="166"/>
      <c r="BU98" s="166"/>
      <c r="BV98" s="166"/>
      <c r="BW98" s="166"/>
      <c r="BX98" s="166"/>
      <c r="BY98" s="166"/>
      <c r="BZ98" s="166"/>
      <c r="CA98" s="166"/>
      <c r="CB98" s="166"/>
      <c r="CC98" s="166"/>
      <c r="CD98" s="166"/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66"/>
      <c r="CR98" s="166"/>
      <c r="CS98" s="166"/>
      <c r="CT98" s="166"/>
      <c r="CU98" s="166"/>
      <c r="CV98" s="166"/>
      <c r="CW98" s="166"/>
      <c r="CX98" s="166"/>
      <c r="CY98" s="166"/>
      <c r="CZ98" s="166"/>
    </row>
    <row r="99" spans="2:104" ht="15" customHeight="1" x14ac:dyDescent="0.25">
      <c r="B99" s="184" t="s">
        <v>332</v>
      </c>
      <c r="C99" s="216">
        <v>24</v>
      </c>
      <c r="D99" s="216">
        <v>0.25</v>
      </c>
      <c r="E99" s="216">
        <v>24</v>
      </c>
      <c r="F99" s="216">
        <v>2</v>
      </c>
      <c r="G99" s="216">
        <f t="shared" si="60"/>
        <v>1.75</v>
      </c>
      <c r="H99" s="217">
        <v>1</v>
      </c>
      <c r="AC99" s="166"/>
      <c r="AD99" s="166"/>
      <c r="AE99" s="166"/>
      <c r="AF99" s="166"/>
      <c r="AG99" s="166"/>
      <c r="AH99" s="166"/>
      <c r="AI99" s="166"/>
      <c r="AJ99" s="166"/>
      <c r="AK99" s="166"/>
      <c r="AL99" s="166"/>
      <c r="AM99" s="166"/>
      <c r="AN99" s="166"/>
      <c r="AO99" s="166"/>
      <c r="AP99" s="166"/>
      <c r="AQ99" s="166"/>
      <c r="AR99" s="166"/>
      <c r="AS99" s="166"/>
      <c r="AT99" s="166"/>
      <c r="AU99" s="166"/>
      <c r="AV99" s="166"/>
      <c r="AW99" s="166"/>
      <c r="AX99" s="166"/>
      <c r="AY99" s="166"/>
      <c r="AZ99" s="166"/>
      <c r="BA99" s="166"/>
      <c r="BB99" s="166"/>
      <c r="BC99" s="166"/>
      <c r="BD99" s="166"/>
      <c r="BE99" s="166"/>
      <c r="BF99" s="166"/>
      <c r="BG99" s="166"/>
      <c r="BH99" s="166"/>
      <c r="BI99" s="166"/>
      <c r="BJ99" s="166"/>
      <c r="BK99" s="166"/>
      <c r="BL99" s="166"/>
      <c r="BM99" s="166"/>
      <c r="BN99" s="166"/>
      <c r="BO99" s="166"/>
      <c r="BP99" s="166"/>
      <c r="BQ99" s="166"/>
      <c r="BR99" s="166"/>
      <c r="BS99" s="166"/>
      <c r="BT99" s="166"/>
      <c r="BU99" s="166"/>
      <c r="BV99" s="166"/>
      <c r="BW99" s="166"/>
      <c r="BX99" s="166"/>
      <c r="BY99" s="166"/>
      <c r="BZ99" s="166"/>
      <c r="CA99" s="166"/>
      <c r="CB99" s="166"/>
      <c r="CC99" s="166"/>
      <c r="CD99" s="166"/>
      <c r="CE99" s="166"/>
      <c r="CF99" s="166"/>
      <c r="CG99" s="166"/>
      <c r="CH99" s="166"/>
      <c r="CI99" s="166"/>
      <c r="CJ99" s="166"/>
      <c r="CK99" s="166"/>
      <c r="CL99" s="166"/>
      <c r="CM99" s="166"/>
      <c r="CN99" s="166"/>
      <c r="CO99" s="166"/>
      <c r="CP99" s="166"/>
      <c r="CQ99" s="166"/>
      <c r="CR99" s="166"/>
      <c r="CS99" s="166"/>
      <c r="CT99" s="166"/>
      <c r="CU99" s="166"/>
      <c r="CV99" s="166"/>
      <c r="CW99" s="166"/>
      <c r="CX99" s="166"/>
      <c r="CY99" s="166"/>
      <c r="CZ99" s="166"/>
    </row>
    <row r="100" spans="2:104" ht="15" customHeight="1" x14ac:dyDescent="0.25">
      <c r="B100" s="184" t="s">
        <v>333</v>
      </c>
      <c r="C100" s="216">
        <v>24</v>
      </c>
      <c r="D100" s="216">
        <v>0.25</v>
      </c>
      <c r="E100" s="216">
        <v>24</v>
      </c>
      <c r="F100" s="216">
        <v>2</v>
      </c>
      <c r="G100" s="216">
        <f t="shared" si="60"/>
        <v>1.75</v>
      </c>
      <c r="H100" s="217">
        <v>1</v>
      </c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</row>
    <row r="101" spans="2:104" ht="15" customHeight="1" x14ac:dyDescent="0.25">
      <c r="B101" s="184" t="s">
        <v>334</v>
      </c>
      <c r="C101" s="216">
        <v>24</v>
      </c>
      <c r="D101" s="216">
        <v>0.25</v>
      </c>
      <c r="E101" s="216">
        <v>24</v>
      </c>
      <c r="F101" s="216">
        <v>4</v>
      </c>
      <c r="G101" s="216">
        <f>F101-D101</f>
        <v>3.75</v>
      </c>
      <c r="H101" s="217">
        <v>1</v>
      </c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6"/>
      <c r="CT101" s="166"/>
      <c r="CU101" s="166"/>
      <c r="CV101" s="166"/>
      <c r="CW101" s="166"/>
      <c r="CX101" s="166"/>
      <c r="CY101" s="166"/>
      <c r="CZ101" s="166"/>
    </row>
    <row r="102" spans="2:104" ht="15" customHeight="1" x14ac:dyDescent="0.25">
      <c r="B102" s="184" t="s">
        <v>562</v>
      </c>
      <c r="C102" s="216">
        <v>26</v>
      </c>
      <c r="D102" s="216">
        <v>0.25</v>
      </c>
      <c r="E102" s="216">
        <v>29</v>
      </c>
      <c r="F102" s="216">
        <v>0.25</v>
      </c>
      <c r="G102" s="216">
        <f>F102-D102</f>
        <v>0</v>
      </c>
      <c r="H102" s="217">
        <v>1</v>
      </c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6"/>
      <c r="CT102" s="166"/>
      <c r="CU102" s="166"/>
      <c r="CV102" s="166"/>
      <c r="CW102" s="166"/>
      <c r="CX102" s="166"/>
      <c r="CY102" s="166"/>
      <c r="CZ102" s="166"/>
    </row>
  </sheetData>
  <mergeCells count="11">
    <mergeCell ref="BA3:CZ3"/>
    <mergeCell ref="A1:H1"/>
    <mergeCell ref="L2:M2"/>
    <mergeCell ref="B4:B5"/>
    <mergeCell ref="C4:C5"/>
    <mergeCell ref="D4:D5"/>
    <mergeCell ref="E4:E5"/>
    <mergeCell ref="F4:F5"/>
    <mergeCell ref="H4:H5"/>
    <mergeCell ref="G4:G5"/>
    <mergeCell ref="I3:AZ3"/>
  </mergeCells>
  <conditionalFormatting sqref="I12:CY33 CZ11:CZ33 I34:CZ43 I54:CZ102">
    <cfRule type="expression" dxfId="58" priority="82">
      <formula>PercentComplete</formula>
    </cfRule>
    <cfRule type="expression" dxfId="57" priority="83">
      <formula>PercentCompleteBeyond</formula>
    </cfRule>
    <cfRule type="expression" dxfId="56" priority="84">
      <formula>Actual</formula>
    </cfRule>
    <cfRule type="expression" dxfId="55" priority="85">
      <formula>ActualBeyond</formula>
    </cfRule>
    <cfRule type="expression" dxfId="54" priority="86">
      <formula>Plan</formula>
    </cfRule>
    <cfRule type="expression" dxfId="53" priority="87">
      <formula>I$5=period_selected</formula>
    </cfRule>
    <cfRule type="expression" dxfId="52" priority="88">
      <formula>MOD(COLUMN(),2)</formula>
    </cfRule>
    <cfRule type="expression" dxfId="51" priority="89">
      <formula>MOD(COLUMN(),2)=0</formula>
    </cfRule>
  </conditionalFormatting>
  <conditionalFormatting sqref="AI11:AY11">
    <cfRule type="expression" dxfId="50" priority="68">
      <formula>PercentComplete</formula>
    </cfRule>
    <cfRule type="expression" dxfId="49" priority="69">
      <formula>PercentCompleteBeyond</formula>
    </cfRule>
    <cfRule type="expression" dxfId="48" priority="70">
      <formula>Actual</formula>
    </cfRule>
    <cfRule type="expression" dxfId="47" priority="71">
      <formula>ActualBeyond</formula>
    </cfRule>
    <cfRule type="expression" dxfId="46" priority="72">
      <formula>Plan</formula>
    </cfRule>
    <cfRule type="expression" dxfId="45" priority="73">
      <formula>AI$5=period_selected</formula>
    </cfRule>
    <cfRule type="expression" dxfId="44" priority="74">
      <formula>MOD(COLUMN(),2)</formula>
    </cfRule>
    <cfRule type="expression" dxfId="43" priority="75">
      <formula>MOD(COLUMN(),2)=0</formula>
    </cfRule>
  </conditionalFormatting>
  <conditionalFormatting sqref="I11:AG11">
    <cfRule type="expression" dxfId="42" priority="60">
      <formula>PercentComplete</formula>
    </cfRule>
    <cfRule type="expression" dxfId="41" priority="61">
      <formula>PercentCompleteBeyond</formula>
    </cfRule>
    <cfRule type="expression" dxfId="40" priority="62">
      <formula>Actual</formula>
    </cfRule>
    <cfRule type="expression" dxfId="39" priority="63">
      <formula>ActualBeyond</formula>
    </cfRule>
    <cfRule type="expression" dxfId="38" priority="64">
      <formula>Plan</formula>
    </cfRule>
    <cfRule type="expression" dxfId="37" priority="65">
      <formula>I$5=period_selected</formula>
    </cfRule>
    <cfRule type="expression" dxfId="36" priority="66">
      <formula>MOD(COLUMN(),2)</formula>
    </cfRule>
    <cfRule type="expression" dxfId="35" priority="67">
      <formula>MOD(COLUMN(),2)=0</formula>
    </cfRule>
  </conditionalFormatting>
  <conditionalFormatting sqref="AH11">
    <cfRule type="expression" dxfId="34" priority="52">
      <formula>PercentComplete</formula>
    </cfRule>
    <cfRule type="expression" dxfId="33" priority="53">
      <formula>PercentCompleteBeyond</formula>
    </cfRule>
    <cfRule type="expression" dxfId="32" priority="54">
      <formula>Actual</formula>
    </cfRule>
    <cfRule type="expression" dxfId="31" priority="55">
      <formula>ActualBeyond</formula>
    </cfRule>
    <cfRule type="expression" dxfId="30" priority="56">
      <formula>Plan</formula>
    </cfRule>
    <cfRule type="expression" dxfId="29" priority="57">
      <formula>AH$5=period_selected</formula>
    </cfRule>
    <cfRule type="expression" dxfId="28" priority="58">
      <formula>MOD(COLUMN(),2)</formula>
    </cfRule>
    <cfRule type="expression" dxfId="27" priority="59">
      <formula>MOD(COLUMN(),2)=0</formula>
    </cfRule>
  </conditionalFormatting>
  <conditionalFormatting sqref="AZ11:CY11">
    <cfRule type="expression" dxfId="26" priority="44">
      <formula>PercentComplete</formula>
    </cfRule>
    <cfRule type="expression" dxfId="25" priority="45">
      <formula>PercentCompleteBeyond</formula>
    </cfRule>
    <cfRule type="expression" dxfId="24" priority="46">
      <formula>Actual</formula>
    </cfRule>
    <cfRule type="expression" dxfId="23" priority="47">
      <formula>ActualBeyond</formula>
    </cfRule>
    <cfRule type="expression" dxfId="22" priority="48">
      <formula>Plan</formula>
    </cfRule>
    <cfRule type="expression" dxfId="21" priority="49">
      <formula>AZ$5=period_selected</formula>
    </cfRule>
    <cfRule type="expression" dxfId="20" priority="50">
      <formula>MOD(COLUMN(),2)</formula>
    </cfRule>
    <cfRule type="expression" dxfId="19" priority="51">
      <formula>MOD(COLUMN(),2)=0</formula>
    </cfRule>
  </conditionalFormatting>
  <conditionalFormatting sqref="H54:H102 H11:H33">
    <cfRule type="dataBar" priority="160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{B9CEF816-C95D-4514-BF4D-820B1A56F2BD}</x14:id>
        </ext>
      </extLst>
    </cfRule>
  </conditionalFormatting>
  <conditionalFormatting sqref="I6:CZ10">
    <cfRule type="expression" dxfId="18" priority="19">
      <formula>PercentComplete</formula>
    </cfRule>
    <cfRule type="expression" dxfId="17" priority="20">
      <formula>PercentCompleteBeyond</formula>
    </cfRule>
    <cfRule type="expression" dxfId="16" priority="21">
      <formula>Actual</formula>
    </cfRule>
    <cfRule type="expression" dxfId="15" priority="22">
      <formula>ActualBeyond</formula>
    </cfRule>
    <cfRule type="expression" dxfId="14" priority="23">
      <formula>Plan</formula>
    </cfRule>
    <cfRule type="expression" dxfId="13" priority="24">
      <formula>I$5=period_selected</formula>
    </cfRule>
    <cfRule type="expression" dxfId="12" priority="25">
      <formula>MOD(COLUMN(),2)</formula>
    </cfRule>
    <cfRule type="expression" dxfId="11" priority="26">
      <formula>MOD(COLUMN(),2)=0</formula>
    </cfRule>
  </conditionalFormatting>
  <conditionalFormatting sqref="H6:H10">
    <cfRule type="dataBar" priority="27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{7919ACE3-A3B1-4A2A-8D3D-1CBF6423FC6C}</x14:id>
        </ext>
      </extLst>
    </cfRule>
  </conditionalFormatting>
  <conditionalFormatting sqref="H34:H43">
    <cfRule type="dataBar" priority="196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{A2EC60A0-A791-42DE-BB40-FCFF85AF8005}</x14:id>
        </ext>
      </extLst>
    </cfRule>
  </conditionalFormatting>
  <conditionalFormatting sqref="I44:CZ53">
    <cfRule type="expression" dxfId="7" priority="1">
      <formula>PercentComplete</formula>
    </cfRule>
    <cfRule type="expression" dxfId="6" priority="2">
      <formula>PercentCompleteBeyond</formula>
    </cfRule>
    <cfRule type="expression" dxfId="5" priority="3">
      <formula>Actual</formula>
    </cfRule>
    <cfRule type="expression" dxfId="4" priority="4">
      <formula>ActualBeyond</formula>
    </cfRule>
    <cfRule type="expression" dxfId="3" priority="5">
      <formula>Plan</formula>
    </cfRule>
    <cfRule type="expression" dxfId="2" priority="6">
      <formula>I$5=period_selected</formula>
    </cfRule>
    <cfRule type="expression" dxfId="1" priority="7">
      <formula>MOD(COLUMN(),2)</formula>
    </cfRule>
    <cfRule type="expression" dxfId="0" priority="8">
      <formula>MOD(COLUMN(),2)=0</formula>
    </cfRule>
  </conditionalFormatting>
  <conditionalFormatting sqref="H44:H53">
    <cfRule type="dataBar" priority="9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{E96B2E48-9573-40F6-86C4-6F554821F42B}</x14:id>
        </ext>
      </extLst>
    </cfRule>
  </conditionalFormatting>
  <dataValidations count="11">
    <dataValidation allowBlank="1" showInputMessage="1" showErrorMessage="1" prompt="This legend cell indicates the percentage of project completed beyond plan" sqref="X2"/>
    <dataValidation allowBlank="1" showInputMessage="1" showErrorMessage="1" prompt="This legend cell indicates actual duration beyond plan" sqref="T2"/>
    <dataValidation allowBlank="1" showInputMessage="1" showErrorMessage="1" prompt="This legend cell indicates the percentage of project completed" sqref="Q2"/>
    <dataValidation allowBlank="1" showInputMessage="1" showErrorMessage="1" prompt="This legend cell indicates actual duration" sqref="N2"/>
    <dataValidation errorStyle="warning" allowBlank="1" showInputMessage="1" showErrorMessage="1" error="Type a value from 1 to 60 or select a period from the list-press  CANCEL, ALT+DOWN ARROW, then ENTER to select a value" prompt="Toggle to highlight the week" sqref="H2"/>
    <dataValidation allowBlank="1" showErrorMessage="1" prompt="Periods are charted from 1 to 60 starting from cell H4 to cell BO4 " sqref="I4:CZ4"/>
    <dataValidation allowBlank="1" showInputMessage="1" showErrorMessage="1" prompt="This legend cell indicates plan duration" sqref="K2"/>
    <dataValidation errorStyle="warning" allowBlank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3"/>
    <dataValidation allowBlank="1" showInputMessage="1" showErrorMessage="1" prompt="Select a period to highlight in H2. A Chart legend is in J2 to AI2" sqref="B3:G3"/>
    <dataValidation allowBlank="1" showErrorMessage="1" prompt="Title of the project. Enter a new title in this cell. Highlight a period in H2. Chart legend is in J2 to AI2" sqref="A1:H1"/>
    <dataValidation allowBlank="1" showErrorMessage="1" sqref="B4:H209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Spinner 3">
              <controlPr defaultSize="0" print="0" autoPict="0" macro="[0]!Spinner20_Change" altText="Period Highlight Spin Control">
                <anchor moveWithCells="1">
                  <from>
                    <xdr:col>7</xdr:col>
                    <xdr:colOff>962025</xdr:colOff>
                    <xdr:row>1</xdr:row>
                    <xdr:rowOff>19050</xdr:rowOff>
                  </from>
                  <to>
                    <xdr:col>7</xdr:col>
                    <xdr:colOff>1095375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CEF816-C95D-4514-BF4D-820B1A56F2BD}">
            <x14:dataBar minLength="0" maxLength="100" gradient="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H54:H102 H11:H33</xm:sqref>
        </x14:conditionalFormatting>
        <x14:conditionalFormatting xmlns:xm="http://schemas.microsoft.com/office/excel/2006/main">
          <x14:cfRule type="dataBar" id="{7919ACE3-A3B1-4A2A-8D3D-1CBF6423FC6C}">
            <x14:dataBar minLength="0" maxLength="100" gradient="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H6:H10</xm:sqref>
        </x14:conditionalFormatting>
        <x14:conditionalFormatting xmlns:xm="http://schemas.microsoft.com/office/excel/2006/main">
          <x14:cfRule type="dataBar" id="{A2EC60A0-A791-42DE-BB40-FCFF85AF8005}">
            <x14:dataBar minLength="0" maxLength="100" gradient="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H34:H43</xm:sqref>
        </x14:conditionalFormatting>
        <x14:conditionalFormatting xmlns:xm="http://schemas.microsoft.com/office/excel/2006/main">
          <x14:cfRule type="dataBar" id="{E96B2E48-9573-40F6-86C4-6F554821F42B}">
            <x14:dataBar minLength="0" maxLength="100" gradient="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H44:H53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B3:J21"/>
  <sheetViews>
    <sheetView showGridLines="0" workbookViewId="0">
      <selection activeCell="K18" sqref="K18"/>
    </sheetView>
  </sheetViews>
  <sheetFormatPr defaultRowHeight="15" x14ac:dyDescent="0.25"/>
  <cols>
    <col min="1" max="1" width="3.5703125" customWidth="1"/>
    <col min="2" max="2" width="25" bestFit="1" customWidth="1"/>
    <col min="3" max="3" width="13.42578125" bestFit="1" customWidth="1"/>
    <col min="4" max="4" width="15.42578125" bestFit="1" customWidth="1"/>
    <col min="5" max="5" width="15.85546875" bestFit="1" customWidth="1"/>
    <col min="6" max="6" width="16.42578125" bestFit="1" customWidth="1"/>
    <col min="7" max="7" width="10.28515625" bestFit="1" customWidth="1"/>
    <col min="8" max="8" width="10.85546875" bestFit="1" customWidth="1"/>
    <col min="9" max="9" width="10.28515625" bestFit="1" customWidth="1"/>
    <col min="10" max="10" width="10.85546875" bestFit="1" customWidth="1"/>
  </cols>
  <sheetData>
    <row r="3" spans="2:10" x14ac:dyDescent="0.25">
      <c r="B3" s="177" t="s">
        <v>338</v>
      </c>
      <c r="C3" s="177" t="s">
        <v>349</v>
      </c>
      <c r="D3" s="177" t="s">
        <v>339</v>
      </c>
      <c r="E3" s="177" t="s">
        <v>341</v>
      </c>
      <c r="F3" s="177" t="s">
        <v>342</v>
      </c>
      <c r="G3" s="177" t="s">
        <v>343</v>
      </c>
      <c r="H3" s="177" t="s">
        <v>344</v>
      </c>
      <c r="I3" s="177" t="s">
        <v>374</v>
      </c>
      <c r="J3" s="177" t="s">
        <v>375</v>
      </c>
    </row>
    <row r="4" spans="2:10" x14ac:dyDescent="0.25">
      <c r="B4" s="178" t="s">
        <v>20</v>
      </c>
      <c r="C4" s="179">
        <v>2020</v>
      </c>
      <c r="D4" s="179" t="s">
        <v>340</v>
      </c>
      <c r="E4" s="179">
        <v>12</v>
      </c>
      <c r="F4" s="179">
        <v>0</v>
      </c>
      <c r="G4" s="179">
        <v>0</v>
      </c>
      <c r="H4" s="179">
        <v>0</v>
      </c>
      <c r="I4" s="179">
        <v>0</v>
      </c>
      <c r="J4" s="179">
        <v>0</v>
      </c>
    </row>
    <row r="5" spans="2:10" x14ac:dyDescent="0.25">
      <c r="B5" s="178" t="s">
        <v>20</v>
      </c>
      <c r="C5" s="179">
        <v>2020</v>
      </c>
      <c r="D5" s="179" t="s">
        <v>345</v>
      </c>
      <c r="E5" s="179">
        <v>0</v>
      </c>
      <c r="F5" s="179">
        <v>5</v>
      </c>
      <c r="G5" s="179">
        <v>0</v>
      </c>
      <c r="H5" s="179">
        <v>0</v>
      </c>
      <c r="I5" s="179">
        <v>0</v>
      </c>
      <c r="J5" s="179">
        <v>0</v>
      </c>
    </row>
    <row r="6" spans="2:10" x14ac:dyDescent="0.25">
      <c r="B6" s="178" t="s">
        <v>20</v>
      </c>
      <c r="C6" s="179">
        <v>2020</v>
      </c>
      <c r="D6" s="179" t="s">
        <v>346</v>
      </c>
      <c r="E6" s="179">
        <v>0</v>
      </c>
      <c r="F6" s="179">
        <v>21</v>
      </c>
      <c r="G6" s="179">
        <v>0</v>
      </c>
      <c r="H6" s="179">
        <v>0</v>
      </c>
      <c r="I6" s="179">
        <v>0</v>
      </c>
      <c r="J6" s="179">
        <v>0</v>
      </c>
    </row>
    <row r="7" spans="2:10" x14ac:dyDescent="0.25">
      <c r="B7" s="178" t="s">
        <v>20</v>
      </c>
      <c r="C7" s="179">
        <v>2020</v>
      </c>
      <c r="D7" s="179" t="s">
        <v>347</v>
      </c>
      <c r="E7" s="179">
        <v>0</v>
      </c>
      <c r="F7" s="179">
        <v>22</v>
      </c>
      <c r="G7" s="179">
        <v>0</v>
      </c>
      <c r="H7" s="179">
        <v>0</v>
      </c>
      <c r="I7" s="179">
        <v>0</v>
      </c>
      <c r="J7" s="179">
        <v>0</v>
      </c>
    </row>
    <row r="8" spans="2:10" x14ac:dyDescent="0.25">
      <c r="B8" s="178" t="s">
        <v>20</v>
      </c>
      <c r="C8" s="179">
        <v>2020</v>
      </c>
      <c r="D8" s="179" t="s">
        <v>348</v>
      </c>
      <c r="E8" s="179">
        <v>0</v>
      </c>
      <c r="F8" s="179">
        <v>22</v>
      </c>
      <c r="G8" s="179">
        <v>0</v>
      </c>
      <c r="H8" s="179">
        <v>0</v>
      </c>
      <c r="I8" s="179">
        <v>0</v>
      </c>
      <c r="J8" s="179">
        <v>0</v>
      </c>
    </row>
    <row r="9" spans="2:10" x14ac:dyDescent="0.25">
      <c r="B9" s="178" t="s">
        <v>29</v>
      </c>
      <c r="C9" s="179">
        <v>2020</v>
      </c>
      <c r="D9" s="179" t="s">
        <v>282</v>
      </c>
      <c r="E9" s="179">
        <v>0</v>
      </c>
      <c r="F9" s="179">
        <v>20</v>
      </c>
      <c r="G9" s="179">
        <v>0</v>
      </c>
      <c r="H9" s="179">
        <v>0</v>
      </c>
      <c r="I9" s="179">
        <v>0</v>
      </c>
      <c r="J9" s="179">
        <v>2</v>
      </c>
    </row>
    <row r="10" spans="2:10" x14ac:dyDescent="0.25">
      <c r="B10" s="178" t="s">
        <v>29</v>
      </c>
      <c r="C10" s="179">
        <v>2020</v>
      </c>
      <c r="D10" s="179" t="s">
        <v>283</v>
      </c>
      <c r="E10" s="179">
        <v>0</v>
      </c>
      <c r="F10" s="179">
        <v>21</v>
      </c>
      <c r="G10" s="179">
        <v>0</v>
      </c>
      <c r="H10" s="179">
        <v>0</v>
      </c>
      <c r="I10" s="179">
        <v>0</v>
      </c>
      <c r="J10" s="179">
        <v>1</v>
      </c>
    </row>
    <row r="11" spans="2:10" x14ac:dyDescent="0.25">
      <c r="B11" s="178" t="s">
        <v>29</v>
      </c>
      <c r="C11" s="179">
        <v>2020</v>
      </c>
      <c r="D11" s="179" t="s">
        <v>382</v>
      </c>
      <c r="E11" s="179">
        <v>0</v>
      </c>
      <c r="F11" s="179">
        <v>17</v>
      </c>
      <c r="G11" s="179">
        <v>0</v>
      </c>
      <c r="H11" s="179">
        <v>2</v>
      </c>
      <c r="I11" s="179">
        <v>0</v>
      </c>
      <c r="J11" s="179">
        <v>2</v>
      </c>
    </row>
    <row r="12" spans="2:10" x14ac:dyDescent="0.25">
      <c r="B12" s="178" t="s">
        <v>29</v>
      </c>
      <c r="C12" s="179">
        <v>2020</v>
      </c>
      <c r="D12" s="179" t="s">
        <v>285</v>
      </c>
      <c r="E12" s="179">
        <v>0</v>
      </c>
      <c r="F12" s="179">
        <v>20</v>
      </c>
      <c r="G12" s="179">
        <v>0</v>
      </c>
      <c r="H12" s="179">
        <v>0</v>
      </c>
      <c r="I12" s="179">
        <v>0</v>
      </c>
      <c r="J12" s="179">
        <v>2</v>
      </c>
    </row>
    <row r="13" spans="2:10" x14ac:dyDescent="0.25">
      <c r="B13" s="178" t="s">
        <v>29</v>
      </c>
      <c r="C13" s="179">
        <v>2020</v>
      </c>
      <c r="D13" s="179" t="s">
        <v>286</v>
      </c>
      <c r="E13" s="179">
        <v>0</v>
      </c>
      <c r="F13" s="179">
        <v>17</v>
      </c>
      <c r="G13" s="179">
        <v>0</v>
      </c>
      <c r="H13" s="179">
        <v>6</v>
      </c>
      <c r="I13" s="179">
        <v>0</v>
      </c>
      <c r="J13" s="179">
        <v>0</v>
      </c>
    </row>
    <row r="14" spans="2:10" x14ac:dyDescent="0.25">
      <c r="B14" s="178" t="s">
        <v>29</v>
      </c>
      <c r="C14" s="179">
        <v>2021</v>
      </c>
      <c r="D14" s="179" t="s">
        <v>287</v>
      </c>
      <c r="E14" s="179">
        <v>0</v>
      </c>
      <c r="F14" s="179">
        <v>20</v>
      </c>
      <c r="G14" s="179">
        <v>0</v>
      </c>
      <c r="H14" s="179">
        <v>1</v>
      </c>
      <c r="I14" s="179">
        <v>0</v>
      </c>
      <c r="J14" s="179">
        <v>0</v>
      </c>
    </row>
    <row r="15" spans="2:10" x14ac:dyDescent="0.25">
      <c r="B15" s="178" t="s">
        <v>573</v>
      </c>
      <c r="C15" s="179">
        <v>2021</v>
      </c>
      <c r="D15" s="179" t="s">
        <v>287</v>
      </c>
      <c r="E15" s="179">
        <v>0</v>
      </c>
      <c r="F15" s="179">
        <v>21</v>
      </c>
      <c r="G15" s="179">
        <v>0</v>
      </c>
      <c r="H15" s="179">
        <v>1</v>
      </c>
      <c r="I15" s="179">
        <v>0</v>
      </c>
      <c r="J15" s="179">
        <v>0</v>
      </c>
    </row>
    <row r="16" spans="2:10" x14ac:dyDescent="0.25">
      <c r="B16" s="178" t="s">
        <v>29</v>
      </c>
      <c r="C16" s="179">
        <v>2021</v>
      </c>
      <c r="D16" s="179" t="s">
        <v>597</v>
      </c>
      <c r="E16" s="179">
        <v>0</v>
      </c>
      <c r="F16" s="179">
        <v>20</v>
      </c>
      <c r="G16" s="179">
        <v>0</v>
      </c>
      <c r="H16" s="179">
        <v>0</v>
      </c>
      <c r="I16" s="179">
        <v>0</v>
      </c>
      <c r="J16" s="179">
        <v>0</v>
      </c>
    </row>
    <row r="17" spans="2:10" x14ac:dyDescent="0.25">
      <c r="B17" s="178" t="s">
        <v>573</v>
      </c>
      <c r="C17" s="179">
        <v>2021</v>
      </c>
      <c r="D17" s="179" t="s">
        <v>597</v>
      </c>
      <c r="E17" s="179">
        <v>0</v>
      </c>
      <c r="F17" s="179">
        <v>19</v>
      </c>
      <c r="G17" s="179">
        <v>0</v>
      </c>
      <c r="H17" s="179">
        <v>1</v>
      </c>
      <c r="I17" s="179">
        <v>0</v>
      </c>
      <c r="J17" s="179">
        <v>0</v>
      </c>
    </row>
    <row r="18" spans="2:10" x14ac:dyDescent="0.25">
      <c r="B18" s="178" t="s">
        <v>591</v>
      </c>
      <c r="C18" s="179">
        <v>2021</v>
      </c>
      <c r="D18" s="179" t="s">
        <v>340</v>
      </c>
      <c r="E18" s="179">
        <v>0</v>
      </c>
      <c r="F18" s="179">
        <v>22</v>
      </c>
      <c r="G18" s="179">
        <v>0</v>
      </c>
      <c r="H18" s="179">
        <v>1</v>
      </c>
      <c r="I18" s="179">
        <v>0</v>
      </c>
      <c r="J18" s="179">
        <v>0</v>
      </c>
    </row>
    <row r="19" spans="2:10" x14ac:dyDescent="0.25">
      <c r="B19" s="178" t="s">
        <v>573</v>
      </c>
      <c r="C19" s="179">
        <v>2021</v>
      </c>
      <c r="D19" s="179" t="s">
        <v>340</v>
      </c>
      <c r="E19" s="179">
        <v>0</v>
      </c>
      <c r="F19" s="179">
        <v>22</v>
      </c>
      <c r="G19" s="179">
        <v>0</v>
      </c>
      <c r="H19" s="179">
        <v>1</v>
      </c>
      <c r="I19" s="179">
        <v>0</v>
      </c>
      <c r="J19" s="179">
        <v>0</v>
      </c>
    </row>
    <row r="20" spans="2:10" x14ac:dyDescent="0.25">
      <c r="B20" s="178"/>
      <c r="C20" s="179"/>
      <c r="D20" s="179"/>
      <c r="E20" s="179"/>
      <c r="F20" s="179"/>
      <c r="G20" s="179"/>
      <c r="H20" s="179"/>
      <c r="I20" s="179"/>
      <c r="J20" s="179"/>
    </row>
    <row r="21" spans="2:10" x14ac:dyDescent="0.25">
      <c r="B21" s="178"/>
      <c r="C21" s="179"/>
      <c r="D21" s="179"/>
      <c r="E21" s="179"/>
      <c r="F21" s="179"/>
      <c r="G21" s="179"/>
      <c r="H21" s="179"/>
      <c r="I21" s="179"/>
      <c r="J21" s="179"/>
    </row>
  </sheetData>
  <dataValidations count="1">
    <dataValidation type="list" allowBlank="1" showInputMessage="1" showErrorMessage="1" sqref="D4:D21">
      <formula1>"Jan,Feb,Mar,Apr,May,Jun,Jul,Aug,Sep,Oct,Nov,Dec"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'Resource Details'!$C$3:$C$3</xm:f>
          </x14:formula1>
          <xm:sqref>B4:B14</xm:sqref>
        </x14:dataValidation>
        <x14:dataValidation type="list" allowBlank="1" showInputMessage="1" showErrorMessage="1">
          <x14:formula1>
            <xm:f>'Resource Details'!$C$3:$C$10</xm:f>
          </x14:formula1>
          <xm:sqref>B15:B21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5"/>
  <sheetViews>
    <sheetView showGridLines="0" workbookViewId="0">
      <pane xSplit="3" topLeftCell="D1" activePane="topRight" state="frozen"/>
      <selection pane="topRight" activeCell="D10" sqref="D10"/>
    </sheetView>
  </sheetViews>
  <sheetFormatPr defaultRowHeight="12.75" x14ac:dyDescent="0.2"/>
  <cols>
    <col min="1" max="1" width="3" style="1" customWidth="1"/>
    <col min="2" max="2" width="6.5703125" style="1" bestFit="1" customWidth="1"/>
    <col min="3" max="3" width="17.7109375" style="1" bestFit="1" customWidth="1"/>
    <col min="4" max="4" width="11.28515625" style="1" bestFit="1" customWidth="1"/>
    <col min="5" max="5" width="10.140625" style="1" customWidth="1"/>
    <col min="6" max="6" width="14.140625" style="1" bestFit="1" customWidth="1"/>
    <col min="7" max="7" width="35.28515625" style="1" bestFit="1" customWidth="1"/>
    <col min="8" max="8" width="13.28515625" style="1" bestFit="1" customWidth="1"/>
    <col min="9" max="9" width="19.42578125" style="1" bestFit="1" customWidth="1"/>
    <col min="10" max="10" width="7.28515625" style="1" bestFit="1" customWidth="1"/>
    <col min="11" max="11" width="16.7109375" style="1" bestFit="1" customWidth="1"/>
    <col min="12" max="12" width="19.140625" style="1" bestFit="1" customWidth="1"/>
    <col min="13" max="13" width="16.7109375" style="1" bestFit="1" customWidth="1"/>
    <col min="14" max="14" width="15.140625" style="1" bestFit="1" customWidth="1"/>
    <col min="15" max="15" width="12" style="1" bestFit="1" customWidth="1"/>
    <col min="16" max="16" width="16.85546875" style="1" bestFit="1" customWidth="1"/>
    <col min="17" max="17" width="24.85546875" style="1" customWidth="1"/>
    <col min="18" max="18" width="15.140625" style="1" customWidth="1"/>
    <col min="19" max="19" width="21.140625" style="1" bestFit="1" customWidth="1"/>
    <col min="20" max="20" width="18.85546875" style="1" bestFit="1" customWidth="1"/>
    <col min="21" max="21" width="18.85546875" style="1" customWidth="1"/>
    <col min="22" max="22" width="17.28515625" style="1" bestFit="1" customWidth="1"/>
    <col min="23" max="23" width="17.28515625" style="1" customWidth="1"/>
    <col min="24" max="16384" width="9.140625" style="1"/>
  </cols>
  <sheetData>
    <row r="1" spans="1:23" ht="15" x14ac:dyDescent="0.25">
      <c r="A1" s="75"/>
      <c r="B1" s="75"/>
      <c r="C1" s="75"/>
      <c r="D1" s="233" t="s">
        <v>595</v>
      </c>
      <c r="E1" s="233" t="s">
        <v>596</v>
      </c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</row>
    <row r="2" spans="1:23" ht="28.5" customHeight="1" x14ac:dyDescent="0.25">
      <c r="A2" s="75"/>
      <c r="B2" s="77" t="s">
        <v>13</v>
      </c>
      <c r="C2" s="78" t="s">
        <v>14</v>
      </c>
      <c r="D2" s="78" t="s">
        <v>594</v>
      </c>
      <c r="E2" s="78" t="s">
        <v>15</v>
      </c>
      <c r="F2" s="78" t="s">
        <v>16</v>
      </c>
      <c r="G2" s="78" t="s">
        <v>17</v>
      </c>
      <c r="H2" s="77" t="s">
        <v>19</v>
      </c>
      <c r="I2" s="79" t="s">
        <v>131</v>
      </c>
      <c r="J2" s="78" t="s">
        <v>18</v>
      </c>
      <c r="K2" s="78" t="s">
        <v>181</v>
      </c>
      <c r="L2" s="78" t="s">
        <v>182</v>
      </c>
      <c r="M2" s="78" t="s">
        <v>183</v>
      </c>
      <c r="N2" s="78" t="s">
        <v>376</v>
      </c>
      <c r="O2" s="78" t="s">
        <v>219</v>
      </c>
      <c r="P2" s="78" t="s">
        <v>138</v>
      </c>
      <c r="Q2" s="78" t="s">
        <v>136</v>
      </c>
      <c r="R2" s="78" t="s">
        <v>216</v>
      </c>
      <c r="S2" s="78" t="s">
        <v>220</v>
      </c>
      <c r="T2" s="79" t="s">
        <v>221</v>
      </c>
      <c r="U2" s="79" t="s">
        <v>295</v>
      </c>
      <c r="V2" s="80" t="s">
        <v>119</v>
      </c>
      <c r="W2" s="80" t="s">
        <v>210</v>
      </c>
    </row>
    <row r="3" spans="1:23" ht="15" x14ac:dyDescent="0.25">
      <c r="B3" s="103">
        <v>4822</v>
      </c>
      <c r="C3" s="104" t="s">
        <v>29</v>
      </c>
      <c r="D3" s="104" t="s">
        <v>596</v>
      </c>
      <c r="E3" s="105" t="s">
        <v>23</v>
      </c>
      <c r="F3" s="105">
        <v>9786986811</v>
      </c>
      <c r="G3" s="106" t="s">
        <v>30</v>
      </c>
      <c r="H3" s="103" t="s">
        <v>593</v>
      </c>
      <c r="I3" s="107" t="s">
        <v>437</v>
      </c>
      <c r="J3" s="107" t="s">
        <v>21</v>
      </c>
      <c r="K3" s="107" t="s">
        <v>180</v>
      </c>
      <c r="L3" s="105" t="s">
        <v>188</v>
      </c>
      <c r="M3" s="105" t="s">
        <v>218</v>
      </c>
      <c r="N3" s="108" t="s">
        <v>589</v>
      </c>
      <c r="O3" s="109" t="s">
        <v>112</v>
      </c>
      <c r="P3" s="109" t="s">
        <v>588</v>
      </c>
      <c r="Q3" s="109" t="s">
        <v>294</v>
      </c>
      <c r="R3" s="108">
        <v>515540</v>
      </c>
      <c r="S3" s="110" t="s">
        <v>185</v>
      </c>
      <c r="T3" s="136">
        <v>44134</v>
      </c>
      <c r="U3" s="136">
        <v>44255</v>
      </c>
      <c r="V3" s="135" t="s">
        <v>9</v>
      </c>
      <c r="W3" s="110" t="s">
        <v>590</v>
      </c>
    </row>
    <row r="4" spans="1:23" ht="15" x14ac:dyDescent="0.25">
      <c r="B4" s="103">
        <v>4012</v>
      </c>
      <c r="C4" s="104" t="s">
        <v>573</v>
      </c>
      <c r="D4" s="104" t="s">
        <v>595</v>
      </c>
      <c r="E4" s="105" t="s">
        <v>23</v>
      </c>
      <c r="F4" s="105">
        <v>8838461998</v>
      </c>
      <c r="G4" s="106" t="s">
        <v>533</v>
      </c>
      <c r="H4" s="103" t="s">
        <v>22</v>
      </c>
      <c r="I4" s="107" t="s">
        <v>437</v>
      </c>
      <c r="J4" s="107" t="s">
        <v>21</v>
      </c>
      <c r="K4" s="107" t="s">
        <v>180</v>
      </c>
      <c r="L4" s="105" t="s">
        <v>188</v>
      </c>
      <c r="M4" s="105" t="s">
        <v>218</v>
      </c>
      <c r="N4" s="108" t="s">
        <v>159</v>
      </c>
      <c r="O4" s="109" t="s">
        <v>112</v>
      </c>
      <c r="P4" s="109" t="s">
        <v>588</v>
      </c>
      <c r="Q4" s="109" t="s">
        <v>294</v>
      </c>
      <c r="R4" s="108">
        <v>517613</v>
      </c>
      <c r="S4" s="110" t="s">
        <v>185</v>
      </c>
      <c r="T4" s="136">
        <v>44286</v>
      </c>
      <c r="U4" s="135" t="s">
        <v>9</v>
      </c>
      <c r="V4" s="135" t="s">
        <v>9</v>
      </c>
      <c r="W4" s="110" t="s">
        <v>159</v>
      </c>
    </row>
    <row r="5" spans="1:23" ht="15" x14ac:dyDescent="0.25">
      <c r="B5" s="103">
        <v>4810</v>
      </c>
      <c r="C5" s="104" t="s">
        <v>591</v>
      </c>
      <c r="D5" s="104" t="s">
        <v>595</v>
      </c>
      <c r="E5" s="105" t="s">
        <v>23</v>
      </c>
      <c r="F5" s="105">
        <v>7012943386</v>
      </c>
      <c r="G5" s="106" t="s">
        <v>592</v>
      </c>
      <c r="H5" s="103" t="s">
        <v>22</v>
      </c>
      <c r="I5" s="107" t="s">
        <v>437</v>
      </c>
      <c r="J5" s="107" t="s">
        <v>21</v>
      </c>
      <c r="K5" s="107" t="s">
        <v>180</v>
      </c>
      <c r="L5" s="105" t="s">
        <v>188</v>
      </c>
      <c r="M5" s="105" t="s">
        <v>218</v>
      </c>
      <c r="N5" s="108" t="s">
        <v>159</v>
      </c>
      <c r="O5" s="109" t="s">
        <v>112</v>
      </c>
      <c r="P5" s="109" t="s">
        <v>588</v>
      </c>
      <c r="Q5" s="109" t="s">
        <v>294</v>
      </c>
      <c r="R5" s="108"/>
      <c r="S5" s="110" t="s">
        <v>185</v>
      </c>
      <c r="T5" s="136">
        <v>44469</v>
      </c>
      <c r="U5" s="135" t="s">
        <v>9</v>
      </c>
      <c r="V5" s="135" t="s">
        <v>9</v>
      </c>
      <c r="W5" s="110" t="s">
        <v>159</v>
      </c>
    </row>
  </sheetData>
  <conditionalFormatting sqref="C3:D4 D4:D5">
    <cfRule type="cellIs" dxfId="10" priority="118" operator="equal">
      <formula>$D$1</formula>
    </cfRule>
  </conditionalFormatting>
  <conditionalFormatting sqref="C5">
    <cfRule type="duplicateValues" dxfId="9" priority="2"/>
  </conditionalFormatting>
  <conditionalFormatting sqref="D1:D1048576">
    <cfRule type="cellIs" dxfId="8" priority="1" operator="equal">
      <formula>$E$1</formula>
    </cfRule>
  </conditionalFormatting>
  <dataValidations count="4">
    <dataValidation type="list" allowBlank="1" showInputMessage="1" showErrorMessage="1" sqref="N3:N5">
      <formula1>"Assigned, Deployed, Blocked, Available"</formula1>
    </dataValidation>
    <dataValidation type="list" allowBlank="1" showInputMessage="1" showErrorMessage="1" sqref="W4:W5">
      <formula1>"Deployed,Assigned,Blocked, Available"</formula1>
    </dataValidation>
    <dataValidation type="list" allowBlank="1" showInputMessage="1" showErrorMessage="1" sqref="W3">
      <formula1>"Deployed,Assigned,Blocked, Available, Out of Maveric"</formula1>
    </dataValidation>
    <dataValidation type="list" allowBlank="1" showInputMessage="1" showErrorMessage="1" sqref="D3:D5">
      <formula1>$D$1:$E$1</formula1>
    </dataValidation>
  </dataValidations>
  <hyperlinks>
    <hyperlink ref="G5" r:id="rId1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3:D9"/>
  <sheetViews>
    <sheetView workbookViewId="0">
      <selection activeCell="D6" sqref="D6"/>
    </sheetView>
  </sheetViews>
  <sheetFormatPr defaultRowHeight="15" x14ac:dyDescent="0.25"/>
  <cols>
    <col min="3" max="3" width="16.140625" bestFit="1" customWidth="1"/>
  </cols>
  <sheetData>
    <row r="3" spans="3:4" x14ac:dyDescent="0.25">
      <c r="C3" t="s">
        <v>173</v>
      </c>
    </row>
    <row r="4" spans="3:4" x14ac:dyDescent="0.25">
      <c r="C4" t="s">
        <v>174</v>
      </c>
    </row>
    <row r="5" spans="3:4" x14ac:dyDescent="0.25">
      <c r="C5" t="s">
        <v>175</v>
      </c>
      <c r="D5" t="s">
        <v>180</v>
      </c>
    </row>
    <row r="6" spans="3:4" x14ac:dyDescent="0.25">
      <c r="C6" t="s">
        <v>176</v>
      </c>
      <c r="D6" t="s">
        <v>180</v>
      </c>
    </row>
    <row r="7" spans="3:4" x14ac:dyDescent="0.25">
      <c r="C7" t="s">
        <v>177</v>
      </c>
    </row>
    <row r="8" spans="3:4" x14ac:dyDescent="0.25">
      <c r="C8" t="s">
        <v>178</v>
      </c>
    </row>
    <row r="9" spans="3:4" x14ac:dyDescent="0.25">
      <c r="C9" t="s">
        <v>179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8:J17"/>
  <sheetViews>
    <sheetView workbookViewId="0">
      <selection activeCell="G21" sqref="G21"/>
    </sheetView>
  </sheetViews>
  <sheetFormatPr defaultRowHeight="15" x14ac:dyDescent="0.25"/>
  <cols>
    <col min="4" max="4" width="11.85546875" bestFit="1" customWidth="1"/>
    <col min="5" max="5" width="18" bestFit="1" customWidth="1"/>
    <col min="6" max="9" width="10.28515625" bestFit="1" customWidth="1"/>
    <col min="10" max="10" width="11.28515625" bestFit="1" customWidth="1"/>
  </cols>
  <sheetData>
    <row r="8" spans="4:10" x14ac:dyDescent="0.25">
      <c r="D8" t="s">
        <v>290</v>
      </c>
      <c r="E8" s="111" t="s">
        <v>282</v>
      </c>
      <c r="F8" s="111" t="s">
        <v>283</v>
      </c>
      <c r="G8" s="111" t="s">
        <v>284</v>
      </c>
      <c r="H8" s="111" t="s">
        <v>285</v>
      </c>
      <c r="I8" s="111" t="s">
        <v>286</v>
      </c>
      <c r="J8" s="111" t="s">
        <v>287</v>
      </c>
    </row>
    <row r="9" spans="4:10" x14ac:dyDescent="0.25">
      <c r="D9" t="s">
        <v>281</v>
      </c>
      <c r="E9" s="145">
        <v>3850</v>
      </c>
      <c r="F9" s="145">
        <v>3850</v>
      </c>
      <c r="G9" s="145">
        <v>3850</v>
      </c>
      <c r="H9" s="145">
        <v>3850</v>
      </c>
      <c r="I9" s="145">
        <v>3850</v>
      </c>
      <c r="J9" s="145">
        <v>23100</v>
      </c>
    </row>
    <row r="10" spans="4:10" x14ac:dyDescent="0.25">
      <c r="D10" t="s">
        <v>288</v>
      </c>
      <c r="E10" s="145">
        <f>E9+F9</f>
        <v>7700</v>
      </c>
      <c r="F10" s="145">
        <f>F9+G9</f>
        <v>7700</v>
      </c>
      <c r="G10" s="145">
        <f>G9+H9</f>
        <v>7700</v>
      </c>
      <c r="H10" s="145">
        <v>0</v>
      </c>
      <c r="I10" s="145">
        <v>0</v>
      </c>
      <c r="J10" s="145">
        <v>0</v>
      </c>
    </row>
    <row r="11" spans="4:10" x14ac:dyDescent="0.25">
      <c r="D11" t="s">
        <v>289</v>
      </c>
      <c r="E11" s="145">
        <f>4950+E9</f>
        <v>8800</v>
      </c>
      <c r="F11" s="145">
        <f>4950+F9</f>
        <v>8800</v>
      </c>
      <c r="G11" s="145">
        <v>0</v>
      </c>
      <c r="H11" s="145">
        <v>0</v>
      </c>
      <c r="I11" s="145">
        <v>0</v>
      </c>
      <c r="J11" s="145">
        <v>0</v>
      </c>
    </row>
    <row r="14" spans="4:10" x14ac:dyDescent="0.25">
      <c r="D14" t="s">
        <v>291</v>
      </c>
      <c r="E14" t="s">
        <v>290</v>
      </c>
    </row>
    <row r="15" spans="4:10" x14ac:dyDescent="0.25">
      <c r="D15" t="s">
        <v>281</v>
      </c>
      <c r="E15" s="146">
        <v>44227</v>
      </c>
    </row>
    <row r="16" spans="4:10" x14ac:dyDescent="0.25">
      <c r="D16" t="s">
        <v>288</v>
      </c>
      <c r="E16" s="146">
        <v>44135</v>
      </c>
    </row>
    <row r="17" spans="4:5" x14ac:dyDescent="0.25">
      <c r="D17" t="s">
        <v>289</v>
      </c>
      <c r="E17" s="146">
        <v>44104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"/>
  <sheetViews>
    <sheetView showGridLines="0" workbookViewId="0">
      <selection sqref="A1:C2"/>
    </sheetView>
  </sheetViews>
  <sheetFormatPr defaultRowHeight="15" x14ac:dyDescent="0.25"/>
  <cols>
    <col min="1" max="1" width="13.140625" customWidth="1"/>
    <col min="2" max="2" width="38.140625" customWidth="1"/>
    <col min="3" max="3" width="32.28515625" customWidth="1"/>
    <col min="4" max="4" width="7.28515625" customWidth="1"/>
    <col min="5" max="5" width="18.5703125" customWidth="1"/>
    <col min="6" max="6" width="20.42578125" customWidth="1"/>
    <col min="8" max="8" width="27.85546875" bestFit="1" customWidth="1"/>
    <col min="9" max="9" width="14" customWidth="1"/>
    <col min="10" max="10" width="17.7109375" bestFit="1" customWidth="1"/>
    <col min="11" max="11" width="20" bestFit="1" customWidth="1"/>
    <col min="12" max="12" width="10.85546875" customWidth="1"/>
    <col min="13" max="13" width="27.7109375" customWidth="1"/>
    <col min="14" max="14" width="11.85546875" customWidth="1"/>
    <col min="15" max="19" width="28.5703125" customWidth="1"/>
    <col min="20" max="38" width="28.5703125" bestFit="1" customWidth="1"/>
    <col min="39" max="39" width="11.28515625" bestFit="1" customWidth="1"/>
  </cols>
  <sheetData>
    <row r="1" spans="1:14" ht="15" customHeight="1" x14ac:dyDescent="0.25">
      <c r="A1" s="276" t="s">
        <v>412</v>
      </c>
      <c r="B1" s="276"/>
      <c r="C1" s="276"/>
      <c r="E1" s="277" t="s">
        <v>421</v>
      </c>
      <c r="F1" s="277"/>
      <c r="H1" s="281" t="s">
        <v>557</v>
      </c>
      <c r="I1" s="281"/>
      <c r="J1" s="281"/>
      <c r="K1" s="281"/>
      <c r="L1" s="281"/>
      <c r="M1" s="281"/>
      <c r="N1" s="281"/>
    </row>
    <row r="2" spans="1:14" ht="15" customHeight="1" x14ac:dyDescent="0.25">
      <c r="A2" s="276"/>
      <c r="B2" s="276"/>
      <c r="C2" s="276"/>
      <c r="E2" s="277"/>
      <c r="F2" s="277"/>
      <c r="H2" s="281"/>
      <c r="I2" s="281"/>
      <c r="J2" s="281"/>
      <c r="K2" s="281"/>
      <c r="L2" s="281"/>
      <c r="M2" s="281"/>
      <c r="N2" s="281"/>
    </row>
    <row r="3" spans="1:14" x14ac:dyDescent="0.25">
      <c r="A3" s="195"/>
      <c r="B3" s="199" t="s">
        <v>423</v>
      </c>
      <c r="C3" s="195"/>
      <c r="E3" s="206" t="s">
        <v>290</v>
      </c>
      <c r="F3" s="206" t="s">
        <v>420</v>
      </c>
      <c r="H3" s="278" t="s">
        <v>559</v>
      </c>
      <c r="I3" s="279"/>
      <c r="J3" s="279"/>
      <c r="K3" s="279"/>
      <c r="M3" s="280" t="s">
        <v>558</v>
      </c>
      <c r="N3" s="280"/>
    </row>
    <row r="4" spans="1:14" x14ac:dyDescent="0.25">
      <c r="A4" s="199" t="s">
        <v>409</v>
      </c>
      <c r="B4" s="195" t="s">
        <v>411</v>
      </c>
      <c r="C4" s="195" t="s">
        <v>410</v>
      </c>
      <c r="E4" s="44">
        <f>Commercial!C29</f>
        <v>43891</v>
      </c>
      <c r="F4" s="205">
        <f>Commercial!Y29</f>
        <v>3875</v>
      </c>
      <c r="H4" s="278"/>
      <c r="I4" s="279"/>
      <c r="J4" s="279"/>
      <c r="K4" s="279"/>
      <c r="M4" s="280"/>
      <c r="N4" s="280"/>
    </row>
    <row r="5" spans="1:14" x14ac:dyDescent="0.25">
      <c r="A5" s="203" t="s">
        <v>571</v>
      </c>
      <c r="B5" s="200">
        <v>2</v>
      </c>
      <c r="C5" s="200">
        <v>22</v>
      </c>
      <c r="E5" s="44">
        <f>Commercial!C30</f>
        <v>43952</v>
      </c>
      <c r="F5" s="205">
        <f>Commercial!Y30</f>
        <v>0</v>
      </c>
      <c r="H5" s="210" t="s">
        <v>353</v>
      </c>
      <c r="I5" s="210" t="s">
        <v>426</v>
      </c>
      <c r="J5" s="210" t="s">
        <v>560</v>
      </c>
      <c r="K5" s="210" t="s">
        <v>425</v>
      </c>
      <c r="M5" s="224" t="s">
        <v>353</v>
      </c>
      <c r="N5" s="39" t="s">
        <v>561</v>
      </c>
    </row>
    <row r="6" spans="1:14" x14ac:dyDescent="0.25">
      <c r="A6" s="201" t="s">
        <v>396</v>
      </c>
      <c r="B6" s="200">
        <v>0</v>
      </c>
      <c r="C6" s="200">
        <v>0</v>
      </c>
      <c r="E6" s="44">
        <f>Commercial!C31</f>
        <v>43983</v>
      </c>
      <c r="F6" s="205">
        <f>Commercial!Y31</f>
        <v>0</v>
      </c>
      <c r="H6" s="195" t="str">
        <f>IF('Project Activities'!AV4="Yes",'Project Activities'!B4, NA)</f>
        <v>Corporate LOS - CAD Workflow 1</v>
      </c>
      <c r="I6" s="213" t="str">
        <f>IF(H6='Project Activities'!B4,'Project Activities'!M4, 0)</f>
        <v>In-Progress</v>
      </c>
      <c r="J6" s="211">
        <f>IF(H6='Project Activities'!B4,'Project Activities'!AW4, 0)</f>
        <v>121</v>
      </c>
      <c r="K6" s="212">
        <f>IF(H6='Project Activities'!B4,'Project Activities'!AX4, 0)</f>
        <v>6.05</v>
      </c>
      <c r="M6" s="202" t="s">
        <v>390</v>
      </c>
      <c r="N6" s="227">
        <v>0.25</v>
      </c>
    </row>
    <row r="7" spans="1:14" x14ac:dyDescent="0.25">
      <c r="A7" s="201" t="s">
        <v>397</v>
      </c>
      <c r="B7" s="200">
        <v>0</v>
      </c>
      <c r="C7" s="200">
        <v>4</v>
      </c>
      <c r="E7" s="44">
        <f>Commercial!C32</f>
        <v>44013</v>
      </c>
      <c r="F7" s="205">
        <f>Commercial!Y32</f>
        <v>0</v>
      </c>
      <c r="H7" s="195" t="str">
        <f>IF('Project Activities'!AV15="Yes",'Project Activities'!B15, NA)</f>
        <v>IB2MB4-ExaData</v>
      </c>
      <c r="I7" s="213" t="str">
        <f>IF(H7='Project Activities'!B15,'Project Activities'!M15, 0)</f>
        <v>Completed</v>
      </c>
      <c r="J7" s="211">
        <f>IF(H7='Project Activities'!B15,'Project Activities'!AW15, 0)</f>
        <v>16</v>
      </c>
      <c r="K7" s="212">
        <f>IF(H7='Project Activities'!B15,'Project Activities'!AX15, 0)</f>
        <v>4</v>
      </c>
      <c r="M7" s="202" t="s">
        <v>377</v>
      </c>
      <c r="N7" s="227">
        <v>3.375</v>
      </c>
    </row>
    <row r="8" spans="1:14" x14ac:dyDescent="0.25">
      <c r="A8" s="201" t="s">
        <v>398</v>
      </c>
      <c r="B8" s="200">
        <v>0</v>
      </c>
      <c r="C8" s="200">
        <v>8</v>
      </c>
      <c r="E8" s="44">
        <f>Commercial!C33</f>
        <v>44044</v>
      </c>
      <c r="F8" s="205">
        <f>Commercial!Y33</f>
        <v>175</v>
      </c>
      <c r="H8" s="195" t="str">
        <f>IF('Project Activities'!AV6="Yes",'Project Activities'!B6, "FALSE")</f>
        <v>Tablet 2.0</v>
      </c>
      <c r="I8" s="213" t="str">
        <f>IF(H8='Project Activities'!B6,'Project Activities'!M6, 0)</f>
        <v>In-Progress</v>
      </c>
      <c r="J8" s="211">
        <f>IF(H8='Project Activities'!B6,'Project Activities'!AW6, 0)</f>
        <v>5</v>
      </c>
      <c r="K8" s="212">
        <f>IF(H8='Project Activities'!B6,'Project Activities'!AX6, 0)</f>
        <v>0.22727272727272727</v>
      </c>
      <c r="M8" s="202" t="s">
        <v>317</v>
      </c>
      <c r="N8" s="227">
        <v>0.66666666666666663</v>
      </c>
    </row>
    <row r="9" spans="1:14" x14ac:dyDescent="0.25">
      <c r="A9" s="201" t="s">
        <v>399</v>
      </c>
      <c r="B9" s="200">
        <v>2</v>
      </c>
      <c r="C9" s="200">
        <v>6</v>
      </c>
      <c r="E9" s="44">
        <f>Commercial!C34</f>
        <v>44075</v>
      </c>
      <c r="F9" s="205">
        <f>Commercial!Y34</f>
        <v>175</v>
      </c>
      <c r="H9" s="195" t="str">
        <f>IF('Project Activities'!AV7="Yes",'Project Activities'!B7, "FALSE")</f>
        <v>12 Months statement</v>
      </c>
      <c r="I9" s="213" t="str">
        <f>IF(H9='Project Activities'!B7,'Project Activities'!M7, 0)</f>
        <v>In-Progress</v>
      </c>
      <c r="J9" s="211">
        <f>IF(H9='Project Activities'!B7,'Project Activities'!AW7, 0)</f>
        <v>36</v>
      </c>
      <c r="K9" s="212">
        <f>IF(H9='Project Activities'!B7,'Project Activities'!AX7, 0)</f>
        <v>2.1176470588235294</v>
      </c>
      <c r="M9" s="202" t="s">
        <v>555</v>
      </c>
      <c r="N9" s="227">
        <v>2.3613445378151252</v>
      </c>
    </row>
    <row r="10" spans="1:14" x14ac:dyDescent="0.25">
      <c r="A10" s="201" t="s">
        <v>400</v>
      </c>
      <c r="B10" s="200">
        <v>0</v>
      </c>
      <c r="C10" s="200">
        <v>4</v>
      </c>
      <c r="E10" s="44">
        <f>Commercial!C35</f>
        <v>44105</v>
      </c>
      <c r="F10" s="205">
        <f>Commercial!Y35</f>
        <v>700</v>
      </c>
      <c r="H10" s="195" t="str">
        <f>IF('Project Activities'!AV8="Yes",'Project Activities'!B8, "FALSE")</f>
        <v>FALSE</v>
      </c>
      <c r="I10" s="213">
        <f>IF(H10='Project Activities'!B8,'Project Activities'!M8, 0)</f>
        <v>0</v>
      </c>
      <c r="J10" s="211">
        <f>IF(H10='Project Activities'!B8,'Project Activities'!AW8, 0)</f>
        <v>0</v>
      </c>
      <c r="K10" s="212">
        <f>IF(H10='Project Activities'!B8,'Project Activities'!AX8, 0)</f>
        <v>0</v>
      </c>
      <c r="M10" s="202" t="s">
        <v>556</v>
      </c>
      <c r="N10" s="227">
        <v>1.1111111111111112</v>
      </c>
    </row>
    <row r="11" spans="1:14" x14ac:dyDescent="0.25">
      <c r="A11" s="202" t="s">
        <v>149</v>
      </c>
      <c r="B11" s="200">
        <v>2</v>
      </c>
      <c r="C11" s="200">
        <v>22</v>
      </c>
      <c r="E11" s="44">
        <f>Commercial!C36</f>
        <v>44136</v>
      </c>
      <c r="F11" s="205">
        <f>Commercial!Y36</f>
        <v>350</v>
      </c>
      <c r="H11" s="195" t="str">
        <f>IF('Project Activities'!AV16="Yes",'Project Activities'!B16, "FALSE")</f>
        <v>PAM</v>
      </c>
      <c r="I11" s="213" t="str">
        <f>IF(H11='Project Activities'!B16,'Project Activities'!M16, 0)</f>
        <v>Completed</v>
      </c>
      <c r="J11" s="211">
        <f>IF(H11='Project Activities'!B16,'Project Activities'!AW16, 0)</f>
        <v>18</v>
      </c>
      <c r="K11" s="212">
        <f>IF(H11='Project Activities'!B16,'Project Activities'!AX16, 0)</f>
        <v>1.2</v>
      </c>
      <c r="M11" s="202" t="s">
        <v>355</v>
      </c>
      <c r="N11" s="227">
        <v>6.4</v>
      </c>
    </row>
    <row r="12" spans="1:14" x14ac:dyDescent="0.25">
      <c r="E12" s="44">
        <f>Commercial!C37</f>
        <v>44166</v>
      </c>
      <c r="F12" s="205">
        <f>Commercial!Y37</f>
        <v>1050</v>
      </c>
      <c r="H12" s="195" t="str">
        <f>IF('Project Activities'!AV17="Yes",'Project Activities'!B17, "FALSE")</f>
        <v>IB2MB4 - Phase II - Sprint 1</v>
      </c>
      <c r="I12" s="213" t="str">
        <f>IF(H12='Project Activities'!B17,'Project Activities'!M17, 0)</f>
        <v>Completed</v>
      </c>
      <c r="J12" s="211">
        <f>IF(H12='Project Activities'!B17,'Project Activities'!AW17, 0)</f>
        <v>22</v>
      </c>
      <c r="K12" s="212">
        <f>IF(H12='Project Activities'!B17,'Project Activities'!AX17, 0)</f>
        <v>2.2000000000000002</v>
      </c>
      <c r="M12" s="202" t="s">
        <v>361</v>
      </c>
      <c r="N12" s="227">
        <v>1.3333333333333333</v>
      </c>
    </row>
    <row r="13" spans="1:14" x14ac:dyDescent="0.25">
      <c r="E13" s="207" t="s">
        <v>51</v>
      </c>
      <c r="F13" s="208">
        <f>SUM(F4:F12)</f>
        <v>6325</v>
      </c>
      <c r="H13" s="195" t="str">
        <f>IF('Project Activities'!AV18="Yes",'Project Activities'!B18, "FALSE")</f>
        <v>O2MS</v>
      </c>
      <c r="I13" s="213" t="str">
        <f>IF(H13='Project Activities'!B18,'Project Activities'!M18, 0)</f>
        <v>Completed</v>
      </c>
      <c r="J13" s="211">
        <f>IF(H13='Project Activities'!B18,'Project Activities'!AW18, 0)</f>
        <v>9</v>
      </c>
      <c r="K13" s="212">
        <f>IF(H13='Project Activities'!B18,'Project Activities'!AX18, 0)</f>
        <v>0.45</v>
      </c>
      <c r="M13" s="202" t="s">
        <v>379</v>
      </c>
      <c r="N13" s="227">
        <v>0.27504553734061926</v>
      </c>
    </row>
    <row r="14" spans="1:14" x14ac:dyDescent="0.25">
      <c r="H14" s="195" t="str">
        <f>IF('Project Activities'!AV19="Yes",'Project Activities'!B19, "FALSE")</f>
        <v>IB Parallel Load to MBS &amp; MBR</v>
      </c>
      <c r="I14" s="213" t="str">
        <f>IF(H14='Project Activities'!B19,'Project Activities'!M19, 0)</f>
        <v>Completed</v>
      </c>
      <c r="J14" s="211">
        <f>IF(H14='Project Activities'!B19,'Project Activities'!AW19, 0)</f>
        <v>25</v>
      </c>
      <c r="K14" s="212">
        <f>IF(H14='Project Activities'!B19,'Project Activities'!AX19, 0)</f>
        <v>1.1904761904761905</v>
      </c>
      <c r="M14" s="225" t="s">
        <v>149</v>
      </c>
      <c r="N14" s="228">
        <v>15.772501186266856</v>
      </c>
    </row>
    <row r="20" spans="9:9" x14ac:dyDescent="0.25">
      <c r="I20" t="s">
        <v>427</v>
      </c>
    </row>
  </sheetData>
  <autoFilter ref="H5:K14"/>
  <mergeCells count="5">
    <mergeCell ref="A1:C2"/>
    <mergeCell ref="E1:F2"/>
    <mergeCell ref="H3:K4"/>
    <mergeCell ref="M3:N4"/>
    <mergeCell ref="H1:N2"/>
  </mergeCell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21"/>
  <sheetViews>
    <sheetView workbookViewId="0">
      <pane ySplit="1" topLeftCell="A2" activePane="bottomLeft" state="frozen"/>
      <selection pane="bottomLeft" activeCell="J2" sqref="J2"/>
    </sheetView>
  </sheetViews>
  <sheetFormatPr defaultColWidth="15.42578125" defaultRowHeight="15" x14ac:dyDescent="0.25"/>
  <cols>
    <col min="1" max="1" width="6.140625" customWidth="1"/>
    <col min="2" max="2" width="24.5703125" bestFit="1" customWidth="1"/>
    <col min="3" max="3" width="8.42578125" customWidth="1"/>
  </cols>
  <sheetData>
    <row r="1" spans="2:14" s="194" customFormat="1" ht="45" x14ac:dyDescent="0.25">
      <c r="B1" s="197" t="s">
        <v>353</v>
      </c>
      <c r="C1" s="197" t="s">
        <v>290</v>
      </c>
      <c r="D1" s="197" t="s">
        <v>401</v>
      </c>
      <c r="E1" s="197" t="s">
        <v>404</v>
      </c>
      <c r="F1" s="197" t="s">
        <v>402</v>
      </c>
      <c r="G1" s="197" t="s">
        <v>403</v>
      </c>
      <c r="H1" s="197" t="s">
        <v>569</v>
      </c>
      <c r="I1" s="198" t="s">
        <v>405</v>
      </c>
      <c r="J1" s="197" t="s">
        <v>406</v>
      </c>
      <c r="K1" s="197" t="s">
        <v>407</v>
      </c>
      <c r="L1" s="197" t="s">
        <v>408</v>
      </c>
      <c r="M1" s="197" t="s">
        <v>570</v>
      </c>
      <c r="N1" s="198" t="s">
        <v>395</v>
      </c>
    </row>
    <row r="2" spans="2:14" x14ac:dyDescent="0.25">
      <c r="B2" t="s">
        <v>384</v>
      </c>
      <c r="C2" s="196">
        <v>44166</v>
      </c>
      <c r="D2" t="s">
        <v>396</v>
      </c>
      <c r="E2" s="111">
        <v>0</v>
      </c>
      <c r="F2" s="111">
        <v>0</v>
      </c>
      <c r="G2" s="111">
        <v>0</v>
      </c>
      <c r="H2" s="111">
        <v>0</v>
      </c>
      <c r="I2" s="111">
        <f>IFERROR( SUM(E2:G2)/H2,0)</f>
        <v>0</v>
      </c>
      <c r="J2" s="111">
        <v>0</v>
      </c>
      <c r="K2" s="111">
        <v>0</v>
      </c>
      <c r="L2" s="111">
        <v>0</v>
      </c>
      <c r="M2" s="111">
        <v>0</v>
      </c>
      <c r="N2" s="230">
        <f>IFERROR(SUM(J2:L2)/M2,0)</f>
        <v>0</v>
      </c>
    </row>
    <row r="3" spans="2:14" x14ac:dyDescent="0.25">
      <c r="B3" t="s">
        <v>384</v>
      </c>
      <c r="C3" s="196">
        <v>44166</v>
      </c>
      <c r="D3" t="s">
        <v>397</v>
      </c>
      <c r="E3" s="111">
        <v>0</v>
      </c>
      <c r="F3" s="111">
        <v>0</v>
      </c>
      <c r="G3" s="111">
        <v>0</v>
      </c>
      <c r="H3" s="111">
        <v>0</v>
      </c>
      <c r="I3" s="111">
        <f t="shared" ref="I3:I16" si="0">IFERROR( SUM(E3:G3)/H3,0)</f>
        <v>0</v>
      </c>
      <c r="J3" s="111">
        <v>0</v>
      </c>
      <c r="K3" s="111">
        <v>0</v>
      </c>
      <c r="L3" s="111">
        <v>0</v>
      </c>
      <c r="M3" s="111">
        <v>0</v>
      </c>
      <c r="N3" s="230">
        <f t="shared" ref="N3:N19" si="1">IFERROR(SUM(J3:L3)/M3,0)</f>
        <v>0</v>
      </c>
    </row>
    <row r="4" spans="2:14" x14ac:dyDescent="0.25">
      <c r="B4" t="s">
        <v>384</v>
      </c>
      <c r="C4" s="196">
        <v>44166</v>
      </c>
      <c r="D4" t="s">
        <v>398</v>
      </c>
      <c r="E4" s="111">
        <v>0</v>
      </c>
      <c r="F4" s="111">
        <v>0</v>
      </c>
      <c r="G4" s="111">
        <v>0</v>
      </c>
      <c r="H4" s="111">
        <v>0</v>
      </c>
      <c r="I4" s="111">
        <f t="shared" si="0"/>
        <v>0</v>
      </c>
      <c r="J4" s="111">
        <v>0</v>
      </c>
      <c r="K4" s="111">
        <v>0</v>
      </c>
      <c r="L4" s="111">
        <v>0</v>
      </c>
      <c r="M4" s="111">
        <v>0</v>
      </c>
      <c r="N4" s="230">
        <f t="shared" si="1"/>
        <v>0</v>
      </c>
    </row>
    <row r="5" spans="2:14" x14ac:dyDescent="0.25">
      <c r="B5" t="s">
        <v>384</v>
      </c>
      <c r="C5" s="196">
        <v>44166</v>
      </c>
      <c r="D5" t="s">
        <v>399</v>
      </c>
      <c r="E5" s="111">
        <v>0</v>
      </c>
      <c r="F5" s="111">
        <v>0</v>
      </c>
      <c r="G5" s="111">
        <v>0</v>
      </c>
      <c r="H5" s="111">
        <v>0</v>
      </c>
      <c r="I5" s="111">
        <f t="shared" si="0"/>
        <v>0</v>
      </c>
      <c r="J5" s="111">
        <v>0</v>
      </c>
      <c r="K5" s="111">
        <v>0</v>
      </c>
      <c r="L5" s="111">
        <v>0</v>
      </c>
      <c r="M5" s="111">
        <v>0</v>
      </c>
      <c r="N5" s="230">
        <f t="shared" si="1"/>
        <v>0</v>
      </c>
    </row>
    <row r="6" spans="2:14" x14ac:dyDescent="0.25">
      <c r="B6" t="s">
        <v>384</v>
      </c>
      <c r="C6" s="196">
        <v>44166</v>
      </c>
      <c r="D6" t="s">
        <v>400</v>
      </c>
      <c r="E6" s="111">
        <v>0</v>
      </c>
      <c r="F6" s="111">
        <v>0</v>
      </c>
      <c r="G6" s="111">
        <v>0</v>
      </c>
      <c r="H6" s="111">
        <v>0</v>
      </c>
      <c r="I6" s="111">
        <f t="shared" si="0"/>
        <v>0</v>
      </c>
      <c r="J6" s="111">
        <v>0</v>
      </c>
      <c r="K6" s="111">
        <v>0</v>
      </c>
      <c r="L6" s="111">
        <v>0</v>
      </c>
      <c r="M6" s="111">
        <v>0</v>
      </c>
      <c r="N6" s="230">
        <f t="shared" si="1"/>
        <v>0</v>
      </c>
    </row>
    <row r="7" spans="2:14" x14ac:dyDescent="0.25">
      <c r="B7" t="s">
        <v>566</v>
      </c>
      <c r="C7" s="196">
        <v>44166</v>
      </c>
      <c r="D7" t="s">
        <v>396</v>
      </c>
      <c r="E7" s="111">
        <v>0</v>
      </c>
      <c r="F7" s="111">
        <v>0</v>
      </c>
      <c r="G7" s="111">
        <v>0</v>
      </c>
      <c r="H7" s="111">
        <v>0</v>
      </c>
      <c r="I7" s="111">
        <f t="shared" si="0"/>
        <v>0</v>
      </c>
      <c r="J7" s="111">
        <v>0</v>
      </c>
      <c r="K7" s="111">
        <v>0</v>
      </c>
      <c r="L7" s="111">
        <v>0</v>
      </c>
      <c r="M7" s="111">
        <v>0</v>
      </c>
      <c r="N7" s="230">
        <f t="shared" si="1"/>
        <v>0</v>
      </c>
    </row>
    <row r="8" spans="2:14" x14ac:dyDescent="0.25">
      <c r="B8" t="s">
        <v>566</v>
      </c>
      <c r="C8" s="196">
        <v>44166</v>
      </c>
      <c r="D8" t="s">
        <v>397</v>
      </c>
      <c r="E8" s="111">
        <v>0</v>
      </c>
      <c r="F8" s="111">
        <v>0</v>
      </c>
      <c r="G8" s="111">
        <v>0</v>
      </c>
      <c r="H8" s="111">
        <v>0</v>
      </c>
      <c r="I8" s="111">
        <f t="shared" si="0"/>
        <v>0</v>
      </c>
      <c r="J8" s="111">
        <v>0</v>
      </c>
      <c r="K8" s="111">
        <v>0</v>
      </c>
      <c r="L8" s="111">
        <v>0</v>
      </c>
      <c r="M8" s="148">
        <v>0</v>
      </c>
      <c r="N8" s="230">
        <f t="shared" si="1"/>
        <v>0</v>
      </c>
    </row>
    <row r="9" spans="2:14" x14ac:dyDescent="0.25">
      <c r="B9" t="s">
        <v>566</v>
      </c>
      <c r="C9" s="196">
        <v>44166</v>
      </c>
      <c r="D9" t="s">
        <v>398</v>
      </c>
      <c r="E9" s="111">
        <v>0</v>
      </c>
      <c r="F9" s="111">
        <v>0</v>
      </c>
      <c r="G9" s="111">
        <v>0</v>
      </c>
      <c r="H9" s="111">
        <v>0</v>
      </c>
      <c r="I9" s="111">
        <f t="shared" si="0"/>
        <v>0</v>
      </c>
      <c r="J9" s="111">
        <v>0</v>
      </c>
      <c r="K9" s="111">
        <v>0</v>
      </c>
      <c r="L9" s="111">
        <v>0</v>
      </c>
      <c r="M9" s="148">
        <v>0</v>
      </c>
      <c r="N9" s="230">
        <f t="shared" si="1"/>
        <v>0</v>
      </c>
    </row>
    <row r="10" spans="2:14" x14ac:dyDescent="0.25">
      <c r="B10" t="s">
        <v>566</v>
      </c>
      <c r="C10" s="196">
        <v>44166</v>
      </c>
      <c r="D10" t="s">
        <v>399</v>
      </c>
      <c r="E10" s="111">
        <v>0</v>
      </c>
      <c r="F10" s="111">
        <v>0</v>
      </c>
      <c r="G10" s="111">
        <v>0</v>
      </c>
      <c r="H10" s="111">
        <v>0</v>
      </c>
      <c r="I10" s="111">
        <f t="shared" si="0"/>
        <v>0</v>
      </c>
      <c r="J10" s="111">
        <v>0</v>
      </c>
      <c r="K10" s="111">
        <v>0</v>
      </c>
      <c r="L10" s="111">
        <v>0</v>
      </c>
      <c r="M10" s="148">
        <v>0</v>
      </c>
      <c r="N10" s="230">
        <f t="shared" si="1"/>
        <v>0</v>
      </c>
    </row>
    <row r="11" spans="2:14" x14ac:dyDescent="0.25">
      <c r="B11" t="s">
        <v>566</v>
      </c>
      <c r="C11" s="196">
        <v>44166</v>
      </c>
      <c r="D11" t="s">
        <v>400</v>
      </c>
      <c r="E11" s="111">
        <v>0</v>
      </c>
      <c r="F11" s="111">
        <v>0</v>
      </c>
      <c r="G11" s="111">
        <v>0</v>
      </c>
      <c r="H11" s="111">
        <v>0</v>
      </c>
      <c r="I11" s="111">
        <f t="shared" si="0"/>
        <v>0</v>
      </c>
      <c r="J11" s="111">
        <v>0</v>
      </c>
      <c r="K11" s="111">
        <v>0</v>
      </c>
      <c r="L11" s="111">
        <v>0</v>
      </c>
      <c r="M11" s="148">
        <v>0</v>
      </c>
      <c r="N11" s="230">
        <f t="shared" si="1"/>
        <v>0</v>
      </c>
    </row>
    <row r="12" spans="2:14" x14ac:dyDescent="0.25">
      <c r="B12" t="s">
        <v>264</v>
      </c>
      <c r="C12" s="196">
        <v>44166</v>
      </c>
      <c r="D12" t="s">
        <v>396</v>
      </c>
      <c r="E12" s="111">
        <v>0</v>
      </c>
      <c r="F12" s="111">
        <v>0</v>
      </c>
      <c r="G12" s="111">
        <v>0</v>
      </c>
      <c r="H12" s="111">
        <v>0</v>
      </c>
      <c r="I12" s="111">
        <f t="shared" si="0"/>
        <v>0</v>
      </c>
      <c r="J12" s="111">
        <v>0</v>
      </c>
      <c r="K12" s="111">
        <v>0</v>
      </c>
      <c r="L12" s="111">
        <v>0</v>
      </c>
      <c r="M12" s="111">
        <v>0</v>
      </c>
      <c r="N12" s="230">
        <f t="shared" si="1"/>
        <v>0</v>
      </c>
    </row>
    <row r="13" spans="2:14" x14ac:dyDescent="0.25">
      <c r="B13" t="s">
        <v>264</v>
      </c>
      <c r="C13" s="196">
        <v>44166</v>
      </c>
      <c r="D13" t="s">
        <v>397</v>
      </c>
      <c r="E13" s="111">
        <v>0</v>
      </c>
      <c r="F13" s="111">
        <v>0</v>
      </c>
      <c r="G13" s="111">
        <v>0</v>
      </c>
      <c r="H13" s="111">
        <v>0</v>
      </c>
      <c r="I13" s="111">
        <f t="shared" si="0"/>
        <v>0</v>
      </c>
      <c r="J13" s="111">
        <v>0</v>
      </c>
      <c r="K13" s="111">
        <v>0</v>
      </c>
      <c r="L13" s="111">
        <v>0</v>
      </c>
      <c r="M13" s="111">
        <v>0</v>
      </c>
      <c r="N13" s="230">
        <f t="shared" si="1"/>
        <v>0</v>
      </c>
    </row>
    <row r="14" spans="2:14" x14ac:dyDescent="0.25">
      <c r="B14" t="s">
        <v>264</v>
      </c>
      <c r="C14" s="196">
        <v>44166</v>
      </c>
      <c r="D14" t="s">
        <v>398</v>
      </c>
      <c r="E14" s="111">
        <v>0</v>
      </c>
      <c r="F14" s="111">
        <v>0</v>
      </c>
      <c r="G14" s="111">
        <v>0</v>
      </c>
      <c r="H14" s="111">
        <v>0</v>
      </c>
      <c r="I14" s="111">
        <f t="shared" si="0"/>
        <v>0</v>
      </c>
      <c r="J14" s="111">
        <v>0</v>
      </c>
      <c r="K14" s="111">
        <v>0</v>
      </c>
      <c r="L14" s="111">
        <v>0</v>
      </c>
      <c r="M14" s="180">
        <v>0</v>
      </c>
      <c r="N14" s="230">
        <f t="shared" si="1"/>
        <v>0</v>
      </c>
    </row>
    <row r="15" spans="2:14" x14ac:dyDescent="0.25">
      <c r="B15" t="s">
        <v>264</v>
      </c>
      <c r="C15" s="196">
        <v>44166</v>
      </c>
      <c r="D15" t="s">
        <v>399</v>
      </c>
      <c r="E15" s="111">
        <v>0</v>
      </c>
      <c r="F15" s="111">
        <v>0</v>
      </c>
      <c r="G15" s="111">
        <v>0</v>
      </c>
      <c r="H15" s="111">
        <v>0</v>
      </c>
      <c r="I15" s="111">
        <f t="shared" si="0"/>
        <v>0</v>
      </c>
      <c r="J15" s="111">
        <v>0</v>
      </c>
      <c r="K15" s="111">
        <v>0</v>
      </c>
      <c r="L15" s="111">
        <v>0</v>
      </c>
      <c r="M15" s="148">
        <v>0</v>
      </c>
      <c r="N15" s="230">
        <f t="shared" si="1"/>
        <v>0</v>
      </c>
    </row>
    <row r="16" spans="2:14" x14ac:dyDescent="0.25">
      <c r="B16" t="s">
        <v>264</v>
      </c>
      <c r="C16" s="196">
        <v>44166</v>
      </c>
      <c r="D16" t="s">
        <v>400</v>
      </c>
      <c r="E16" s="111">
        <v>0</v>
      </c>
      <c r="F16" s="111">
        <v>0</v>
      </c>
      <c r="G16" s="111">
        <v>0</v>
      </c>
      <c r="H16" s="111">
        <v>0</v>
      </c>
      <c r="I16" s="111">
        <f t="shared" si="0"/>
        <v>0</v>
      </c>
      <c r="J16" s="111">
        <v>0</v>
      </c>
      <c r="K16" s="111">
        <v>0</v>
      </c>
      <c r="L16" s="111">
        <v>0</v>
      </c>
      <c r="M16" s="111">
        <v>0</v>
      </c>
      <c r="N16" s="230">
        <f t="shared" si="1"/>
        <v>0</v>
      </c>
    </row>
    <row r="17" spans="2:14" x14ac:dyDescent="0.25">
      <c r="B17" t="s">
        <v>564</v>
      </c>
      <c r="C17" s="196">
        <v>44166</v>
      </c>
      <c r="D17" t="s">
        <v>396</v>
      </c>
      <c r="E17" s="111">
        <v>0</v>
      </c>
      <c r="F17" s="111">
        <v>0</v>
      </c>
      <c r="G17" s="111">
        <v>0</v>
      </c>
      <c r="H17" s="111">
        <v>0</v>
      </c>
      <c r="I17" s="111">
        <f t="shared" ref="I17:I19" si="2">IFERROR( SUM(E17:G17)/H17,0)</f>
        <v>0</v>
      </c>
      <c r="J17" s="111">
        <v>0</v>
      </c>
      <c r="K17" s="111">
        <v>0</v>
      </c>
      <c r="L17" s="111">
        <v>0</v>
      </c>
      <c r="M17" s="180">
        <v>0</v>
      </c>
      <c r="N17" s="230">
        <f t="shared" si="1"/>
        <v>0</v>
      </c>
    </row>
    <row r="18" spans="2:14" x14ac:dyDescent="0.25">
      <c r="B18" t="s">
        <v>564</v>
      </c>
      <c r="C18" s="196">
        <v>44166</v>
      </c>
      <c r="D18" t="s">
        <v>397</v>
      </c>
      <c r="E18" s="111">
        <v>0</v>
      </c>
      <c r="F18" s="111">
        <v>0</v>
      </c>
      <c r="G18" s="111">
        <v>0</v>
      </c>
      <c r="H18" s="111">
        <v>0</v>
      </c>
      <c r="I18" s="111">
        <f t="shared" si="2"/>
        <v>0</v>
      </c>
      <c r="J18" s="111">
        <v>0</v>
      </c>
      <c r="K18" s="111">
        <v>0</v>
      </c>
      <c r="L18" s="111">
        <v>0</v>
      </c>
      <c r="M18" s="148">
        <v>0</v>
      </c>
      <c r="N18" s="230">
        <f t="shared" si="1"/>
        <v>0</v>
      </c>
    </row>
    <row r="19" spans="2:14" x14ac:dyDescent="0.25">
      <c r="B19" t="s">
        <v>564</v>
      </c>
      <c r="C19" s="196">
        <v>44166</v>
      </c>
      <c r="D19" t="s">
        <v>398</v>
      </c>
      <c r="E19" s="111">
        <v>0</v>
      </c>
      <c r="F19" s="111">
        <v>0</v>
      </c>
      <c r="G19" s="111">
        <v>0</v>
      </c>
      <c r="H19" s="111">
        <v>0</v>
      </c>
      <c r="I19" s="111">
        <f t="shared" si="2"/>
        <v>0</v>
      </c>
      <c r="J19" s="111">
        <v>0</v>
      </c>
      <c r="K19" s="111">
        <v>0</v>
      </c>
      <c r="L19" s="111">
        <v>0</v>
      </c>
      <c r="M19" s="111">
        <v>0</v>
      </c>
      <c r="N19" s="230">
        <f t="shared" si="1"/>
        <v>0</v>
      </c>
    </row>
    <row r="20" spans="2:14" x14ac:dyDescent="0.25">
      <c r="B20" t="s">
        <v>564</v>
      </c>
      <c r="C20" s="196">
        <v>44166</v>
      </c>
      <c r="D20" t="s">
        <v>399</v>
      </c>
      <c r="E20" s="111">
        <v>0</v>
      </c>
      <c r="F20" s="111">
        <v>0</v>
      </c>
      <c r="G20" s="111">
        <v>0</v>
      </c>
      <c r="H20" s="111">
        <v>0</v>
      </c>
      <c r="I20" s="111">
        <f t="shared" ref="I20:I21" si="3">IFERROR( SUM(E20:G20)/H20,0)</f>
        <v>0</v>
      </c>
      <c r="J20" s="111">
        <v>0</v>
      </c>
      <c r="K20" s="111">
        <v>0</v>
      </c>
      <c r="L20" s="111">
        <v>0</v>
      </c>
      <c r="M20" s="180">
        <v>0</v>
      </c>
      <c r="N20" s="230">
        <f t="shared" ref="N20:N21" si="4">IFERROR(SUM(J20:L20)/M20,0)</f>
        <v>0</v>
      </c>
    </row>
    <row r="21" spans="2:14" x14ac:dyDescent="0.25">
      <c r="B21" t="s">
        <v>564</v>
      </c>
      <c r="C21" s="196">
        <v>44166</v>
      </c>
      <c r="D21" t="s">
        <v>400</v>
      </c>
      <c r="E21" s="111">
        <v>0</v>
      </c>
      <c r="F21" s="111">
        <v>0</v>
      </c>
      <c r="G21" s="111">
        <v>0</v>
      </c>
      <c r="H21" s="111">
        <v>0</v>
      </c>
      <c r="I21" s="111">
        <f t="shared" si="3"/>
        <v>0</v>
      </c>
      <c r="J21" s="111">
        <v>0</v>
      </c>
      <c r="K21" s="111">
        <v>0</v>
      </c>
      <c r="L21" s="111">
        <v>0</v>
      </c>
      <c r="M21" s="148">
        <v>0</v>
      </c>
      <c r="N21" s="230">
        <f t="shared" si="4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'Project Activities'!$B$4:$B$110</xm:f>
          </x14:formula1>
          <xm:sqref>B2:B21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3E7841589A4F4CAF1705886CA10FE3" ma:contentTypeVersion="13" ma:contentTypeDescription="Create a new document." ma:contentTypeScope="" ma:versionID="35287b92355f05165ac97b2515a66e0b">
  <xsd:schema xmlns:xsd="http://www.w3.org/2001/XMLSchema" xmlns:xs="http://www.w3.org/2001/XMLSchema" xmlns:p="http://schemas.microsoft.com/office/2006/metadata/properties" xmlns:ns3="de92d138-d6c4-4ef2-a1fe-7d1b127de288" xmlns:ns4="1c8ace6f-3d5a-4c73-ad23-7c362ecbc398" targetNamespace="http://schemas.microsoft.com/office/2006/metadata/properties" ma:root="true" ma:fieldsID="322ab3bad6e7d7e8309710fb3d30ed8e" ns3:_="" ns4:_="">
    <xsd:import namespace="de92d138-d6c4-4ef2-a1fe-7d1b127de288"/>
    <xsd:import namespace="1c8ace6f-3d5a-4c73-ad23-7c362ecbc3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92d138-d6c4-4ef2-a1fe-7d1b127de2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8ace6f-3d5a-4c73-ad23-7c362ecbc3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AD260F-F087-45F7-AF51-5F583028C7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77B39D-CF29-4BF0-A9AE-2AEA28FA7ECD}">
  <ds:schemaRefs>
    <ds:schemaRef ds:uri="http://www.w3.org/XML/1998/namespace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1c8ace6f-3d5a-4c73-ad23-7c362ecbc398"/>
    <ds:schemaRef ds:uri="de92d138-d6c4-4ef2-a1fe-7d1b127de288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1880072A-C7ED-4A2C-A6D8-C18E73F63B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92d138-d6c4-4ef2-a1fe-7d1b127de288"/>
    <ds:schemaRef ds:uri="1c8ace6f-3d5a-4c73-ad23-7c362ecbc3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Sheet1</vt:lpstr>
      <vt:lpstr>Proposal (2)</vt:lpstr>
      <vt:lpstr>Sheet3</vt:lpstr>
      <vt:lpstr>Proposal2</vt:lpstr>
      <vt:lpstr>Resource Details2</vt:lpstr>
      <vt:lpstr>Dashboard</vt:lpstr>
      <vt:lpstr>Project Activities</vt:lpstr>
      <vt:lpstr>Non-Project Activities</vt:lpstr>
      <vt:lpstr>Commercial</vt:lpstr>
      <vt:lpstr>Timeline Tracker</vt:lpstr>
      <vt:lpstr>Attendence Tracker</vt:lpstr>
      <vt:lpstr>Resource Details</vt:lpstr>
      <vt:lpstr>Sheet5</vt:lpstr>
      <vt:lpstr>Cost Projection</vt:lpstr>
      <vt:lpstr>Governance Metrics</vt:lpstr>
      <vt:lpstr>Productivity Tracker</vt:lpstr>
      <vt:lpstr>'Timeline Tracker'!period_selected</vt:lpstr>
      <vt:lpstr>'Timeline Tracker'!Print_Titles</vt:lpstr>
      <vt:lpstr>'Timeline Tracker'!TitleRegion..BO60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2021-04-20T15:28:05Z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0x010100523E7841589A4F4CAF1705886CA10FE3</vt:lpwstr>
  </property>
</Properties>
</file>